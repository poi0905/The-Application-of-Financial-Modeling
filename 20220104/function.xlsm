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filterPrivacy="1" codeName="ThisWorkbook"/>
  <xr:revisionPtr revIDLastSave="67" documentId="8_{C4787FBC-0982-4E50-B3C9-938ECA011D47}" xr6:coauthVersionLast="36" xr6:coauthVersionMax="36" xr10:uidLastSave="{CC2BEE8B-5C77-43AF-AB04-A2E9380F1A28}"/>
  <bookViews>
    <workbookView xWindow="0" yWindow="0" windowWidth="22260" windowHeight="12648" firstSheet="1" activeTab="4" xr2:uid="{00000000-000D-0000-FFFF-FFFF00000000}"/>
  </bookViews>
  <sheets>
    <sheet name="temperature conversion" sheetId="1" r:id="rId1"/>
    <sheet name="cal BMI" sheetId="2" r:id="rId2"/>
    <sheet name="BSM" sheetId="3" r:id="rId3"/>
    <sheet name="easy math" sheetId="4" r:id="rId4"/>
    <sheet name="TVM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5" l="1"/>
  <c r="E5" i="5"/>
  <c r="D2" i="5"/>
  <c r="D3" i="5"/>
  <c r="D4" i="5"/>
  <c r="D1" i="5"/>
  <c r="L2" i="4" l="1"/>
  <c r="F2" i="4" s="1"/>
  <c r="L3" i="4"/>
  <c r="F3" i="4" s="1"/>
  <c r="L4" i="4"/>
  <c r="F4" i="4" s="1"/>
  <c r="L5" i="4"/>
  <c r="F5" i="4" s="1"/>
  <c r="L6" i="4"/>
  <c r="F6" i="4" s="1"/>
  <c r="L7" i="4"/>
  <c r="F7" i="4" s="1"/>
  <c r="L8" i="4"/>
  <c r="F8" i="4" s="1"/>
  <c r="L9" i="4"/>
  <c r="F9" i="4" s="1"/>
  <c r="L10" i="4"/>
  <c r="F10" i="4" s="1"/>
  <c r="L1" i="4"/>
  <c r="F1" i="4" s="1"/>
  <c r="I4" i="4" l="1"/>
  <c r="H1" i="4"/>
  <c r="F9" i="2" l="1"/>
  <c r="C5" i="1"/>
  <c r="F8" i="1"/>
  <c r="F5" i="1"/>
  <c r="C6" i="1"/>
  <c r="F4" i="1"/>
  <c r="F6" i="1"/>
  <c r="F7" i="1"/>
  <c r="C8" i="1"/>
  <c r="C4" i="1"/>
  <c r="E12" i="3"/>
  <c r="G9" i="2"/>
  <c r="C7" i="1"/>
</calcChain>
</file>

<file path=xl/sharedStrings.xml><?xml version="1.0" encoding="utf-8"?>
<sst xmlns="http://schemas.openxmlformats.org/spreadsheetml/2006/main" count="71" uniqueCount="29">
  <si>
    <t>C</t>
    <phoneticPr fontId="1" type="noConversion"/>
  </si>
  <si>
    <t>F</t>
    <phoneticPr fontId="1" type="noConversion"/>
  </si>
  <si>
    <t>kg</t>
    <phoneticPr fontId="1" type="noConversion"/>
  </si>
  <si>
    <t>m</t>
    <phoneticPr fontId="1" type="noConversion"/>
  </si>
  <si>
    <t>bmi</t>
    <phoneticPr fontId="1" type="noConversion"/>
  </si>
  <si>
    <t>comments</t>
    <phoneticPr fontId="1" type="noConversion"/>
  </si>
  <si>
    <t>S</t>
    <phoneticPr fontId="1" type="noConversion"/>
  </si>
  <si>
    <t>X</t>
    <phoneticPr fontId="1" type="noConversion"/>
  </si>
  <si>
    <t>r</t>
    <phoneticPr fontId="1" type="noConversion"/>
  </si>
  <si>
    <t>T</t>
    <phoneticPr fontId="1" type="noConversion"/>
  </si>
  <si>
    <t>sigma</t>
    <phoneticPr fontId="1" type="noConversion"/>
  </si>
  <si>
    <t>bsm</t>
    <phoneticPr fontId="1" type="noConversion"/>
  </si>
  <si>
    <t>=</t>
    <phoneticPr fontId="1" type="noConversion"/>
  </si>
  <si>
    <t>+</t>
  </si>
  <si>
    <t>+</t>
    <phoneticPr fontId="1" type="noConversion"/>
  </si>
  <si>
    <t>-</t>
  </si>
  <si>
    <t>-</t>
    <phoneticPr fontId="1" type="noConversion"/>
  </si>
  <si>
    <t>*</t>
  </si>
  <si>
    <t>*</t>
    <phoneticPr fontId="1" type="noConversion"/>
  </si>
  <si>
    <t>/</t>
  </si>
  <si>
    <t>/</t>
    <phoneticPr fontId="1" type="noConversion"/>
  </si>
  <si>
    <t>SCORE</t>
    <phoneticPr fontId="1" type="noConversion"/>
  </si>
  <si>
    <t>clear</t>
    <phoneticPr fontId="1" type="noConversion"/>
  </si>
  <si>
    <t>PV</t>
    <phoneticPr fontId="1" type="noConversion"/>
  </si>
  <si>
    <t>FV</t>
  </si>
  <si>
    <t>FV</t>
    <phoneticPr fontId="1" type="noConversion"/>
  </si>
  <si>
    <t>Rate</t>
    <phoneticPr fontId="1" type="noConversion"/>
  </si>
  <si>
    <t>Nper</t>
    <phoneticPr fontId="1" type="noConversion"/>
  </si>
  <si>
    <t>PMT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</si>
</sst>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0"/>
      <name val="新細明體"/>
      <family val="2"/>
      <scheme val="minor"/>
    </font>
    <font>
      <sz val="11"/>
      <color theme="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quotePrefix="1"/>
    <xf numFmtId="9" fontId="0" fillId="0" borderId="0" xfId="0" applyNumberFormat="1"/>
    <xf numFmtId="0" fontId="0" fillId="2" borderId="0" xfId="0" applyFill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/>
    <xf numFmtId="8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0</xdr:row>
      <xdr:rowOff>22860</xdr:rowOff>
    </xdr:from>
    <xdr:to>
      <xdr:col>10</xdr:col>
      <xdr:colOff>533400</xdr:colOff>
      <xdr:row>2</xdr:row>
      <xdr:rowOff>7620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455629B3-264B-4800-98E9-AFC6F371D362}"/>
            </a:ext>
          </a:extLst>
        </xdr:cNvPr>
        <xdr:cNvSpPr/>
      </xdr:nvSpPr>
      <xdr:spPr>
        <a:xfrm>
          <a:off x="3314700" y="22860"/>
          <a:ext cx="2705100" cy="3657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1600"/>
            <a:t>                  RESTART</a:t>
          </a:r>
          <a:endParaRPr lang="zh-TW" alt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</xdr:row>
          <xdr:rowOff>99060</xdr:rowOff>
        </xdr:from>
        <xdr:to>
          <xdr:col>2</xdr:col>
          <xdr:colOff>7620</xdr:colOff>
          <xdr:row>2</xdr:row>
          <xdr:rowOff>152400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52AB2A1-7264-4CAD-97AC-848A86853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F8"/>
  <sheetViews>
    <sheetView workbookViewId="0">
      <selection activeCell="I6" sqref="I6"/>
    </sheetView>
  </sheetViews>
  <sheetFormatPr defaultRowHeight="15" x14ac:dyDescent="0.3"/>
  <sheetData>
    <row r="2" spans="1:6" x14ac:dyDescent="0.3">
      <c r="A2" s="1"/>
    </row>
    <row r="3" spans="1:6" x14ac:dyDescent="0.3">
      <c r="B3" t="s">
        <v>0</v>
      </c>
      <c r="C3" t="s">
        <v>1</v>
      </c>
      <c r="E3" t="s">
        <v>1</v>
      </c>
      <c r="F3" t="s">
        <v>0</v>
      </c>
    </row>
    <row r="4" spans="1:6" x14ac:dyDescent="0.3">
      <c r="B4">
        <v>10</v>
      </c>
      <c r="C4">
        <f>Temperature(B4,"F")</f>
        <v>50</v>
      </c>
      <c r="E4">
        <v>50</v>
      </c>
      <c r="F4">
        <f>Temperature(E4,"C")</f>
        <v>10</v>
      </c>
    </row>
    <row r="5" spans="1:6" x14ac:dyDescent="0.3">
      <c r="B5">
        <v>15</v>
      </c>
      <c r="C5">
        <f t="shared" ref="C5:C8" si="0">Temperature(B5,"F")</f>
        <v>59</v>
      </c>
      <c r="E5">
        <v>60</v>
      </c>
      <c r="F5">
        <f t="shared" ref="F5:F8" si="1">Temperature(E5,"C")</f>
        <v>15.555555555555557</v>
      </c>
    </row>
    <row r="6" spans="1:6" x14ac:dyDescent="0.3">
      <c r="B6">
        <v>20</v>
      </c>
      <c r="C6">
        <f t="shared" si="0"/>
        <v>68</v>
      </c>
      <c r="E6">
        <v>70</v>
      </c>
      <c r="F6">
        <f t="shared" si="1"/>
        <v>21.111111111111111</v>
      </c>
    </row>
    <row r="7" spans="1:6" x14ac:dyDescent="0.3">
      <c r="B7">
        <v>25</v>
      </c>
      <c r="C7">
        <f t="shared" si="0"/>
        <v>77</v>
      </c>
      <c r="E7">
        <v>80</v>
      </c>
      <c r="F7">
        <f t="shared" si="1"/>
        <v>26.666666666666668</v>
      </c>
    </row>
    <row r="8" spans="1:6" x14ac:dyDescent="0.3">
      <c r="B8">
        <v>30</v>
      </c>
      <c r="C8">
        <f t="shared" si="0"/>
        <v>86</v>
      </c>
      <c r="E8">
        <v>90</v>
      </c>
      <c r="F8">
        <f t="shared" si="1"/>
        <v>32.222222222222221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0D9A6-E443-43E5-BD05-29E9F63880AE}">
  <sheetPr codeName="Sheet2"/>
  <dimension ref="D8:G9"/>
  <sheetViews>
    <sheetView workbookViewId="0">
      <selection activeCell="J13" sqref="J13"/>
    </sheetView>
  </sheetViews>
  <sheetFormatPr defaultRowHeight="15" x14ac:dyDescent="0.3"/>
  <cols>
    <col min="7" max="7" width="9.625" bestFit="1" customWidth="1"/>
  </cols>
  <sheetData>
    <row r="8" spans="4:7" x14ac:dyDescent="0.3">
      <c r="D8" t="s">
        <v>2</v>
      </c>
      <c r="E8" t="s">
        <v>3</v>
      </c>
      <c r="F8" t="s">
        <v>4</v>
      </c>
      <c r="G8" t="s">
        <v>5</v>
      </c>
    </row>
    <row r="9" spans="4:7" x14ac:dyDescent="0.3">
      <c r="D9">
        <v>68</v>
      </c>
      <c r="E9">
        <v>1.76</v>
      </c>
      <c r="F9">
        <f>bmi(D9,E9)</f>
        <v>21.952479338842977</v>
      </c>
      <c r="G9" t="str">
        <f>comment(F9)</f>
        <v>Healthy weight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E99D-D2F1-4B54-A4DC-C21A91374627}">
  <sheetPr codeName="Sheet3"/>
  <dimension ref="D6:E12"/>
  <sheetViews>
    <sheetView workbookViewId="0">
      <selection activeCell="L7" sqref="L7"/>
    </sheetView>
  </sheetViews>
  <sheetFormatPr defaultRowHeight="15" x14ac:dyDescent="0.3"/>
  <cols>
    <col min="5" max="5" width="10.25" bestFit="1" customWidth="1"/>
  </cols>
  <sheetData>
    <row r="6" spans="4:5" x14ac:dyDescent="0.3">
      <c r="D6" t="s">
        <v>6</v>
      </c>
      <c r="E6">
        <v>30</v>
      </c>
    </row>
    <row r="7" spans="4:5" x14ac:dyDescent="0.3">
      <c r="D7" t="s">
        <v>7</v>
      </c>
      <c r="E7">
        <v>29</v>
      </c>
    </row>
    <row r="8" spans="4:5" x14ac:dyDescent="0.3">
      <c r="D8" t="s">
        <v>8</v>
      </c>
      <c r="E8">
        <v>0.05</v>
      </c>
    </row>
    <row r="9" spans="4:5" x14ac:dyDescent="0.3">
      <c r="D9" t="s">
        <v>9</v>
      </c>
      <c r="E9">
        <v>100</v>
      </c>
    </row>
    <row r="10" spans="4:5" x14ac:dyDescent="0.3">
      <c r="D10" t="s">
        <v>10</v>
      </c>
      <c r="E10" s="2">
        <v>0.8</v>
      </c>
    </row>
    <row r="12" spans="4:5" x14ac:dyDescent="0.3">
      <c r="D12" s="3" t="s">
        <v>11</v>
      </c>
      <c r="E12" s="3">
        <f>bsm(E6,E7,E8,E9,E10,"call")</f>
        <v>6.6292562155614831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502C-9AAB-49FE-B2B4-81B43793A44E}">
  <sheetPr codeName="Sheet4"/>
  <dimension ref="A1:L10"/>
  <sheetViews>
    <sheetView workbookViewId="0">
      <selection activeCell="E11" sqref="E11"/>
    </sheetView>
  </sheetViews>
  <sheetFormatPr defaultRowHeight="15" x14ac:dyDescent="0.3"/>
  <cols>
    <col min="9" max="9" width="9.625" bestFit="1" customWidth="1"/>
  </cols>
  <sheetData>
    <row r="1" spans="1:12" x14ac:dyDescent="0.3">
      <c r="A1" s="5">
        <v>2</v>
      </c>
      <c r="B1" s="5" t="s">
        <v>13</v>
      </c>
      <c r="C1" s="5">
        <v>4</v>
      </c>
      <c r="D1" s="4" t="s">
        <v>12</v>
      </c>
      <c r="E1" s="9">
        <v>6</v>
      </c>
      <c r="F1" s="8" t="str">
        <f>IF(E1=L1,"V","X")</f>
        <v>V</v>
      </c>
      <c r="H1">
        <f ca="1">RANDBETWEEN(1,5)</f>
        <v>1</v>
      </c>
      <c r="L1" s="6">
        <f>_xlfn.IFS(B1="+",A1+C1,B1="-",A1-C1,B1="*",A1*C1,B1="/",A1/C1)</f>
        <v>6</v>
      </c>
    </row>
    <row r="2" spans="1:12" x14ac:dyDescent="0.3">
      <c r="A2" s="5">
        <v>3</v>
      </c>
      <c r="B2" s="5" t="s">
        <v>17</v>
      </c>
      <c r="C2" s="5">
        <v>3</v>
      </c>
      <c r="D2" s="4" t="s">
        <v>12</v>
      </c>
      <c r="E2" s="10">
        <v>9</v>
      </c>
      <c r="F2" s="8" t="str">
        <f t="shared" ref="F2:F10" si="0">IF(E2=L2,"V","X")</f>
        <v>V</v>
      </c>
      <c r="G2" t="s">
        <v>14</v>
      </c>
      <c r="H2" t="s">
        <v>16</v>
      </c>
      <c r="I2" t="s">
        <v>18</v>
      </c>
      <c r="J2" t="s">
        <v>20</v>
      </c>
      <c r="L2" s="6">
        <f t="shared" ref="L2:L10" si="1">_xlfn.IFS(B2="+",A2+C2,B2="-",A2-C2,B2="*",A2*C2,B2="/",A2/C2)</f>
        <v>9</v>
      </c>
    </row>
    <row r="3" spans="1:12" x14ac:dyDescent="0.3">
      <c r="A3" s="5">
        <v>3</v>
      </c>
      <c r="B3" s="5" t="s">
        <v>15</v>
      </c>
      <c r="C3" s="5">
        <v>3</v>
      </c>
      <c r="D3" s="4" t="s">
        <v>12</v>
      </c>
      <c r="E3" s="10">
        <v>0</v>
      </c>
      <c r="F3" s="8" t="str">
        <f t="shared" si="0"/>
        <v>V</v>
      </c>
      <c r="L3" s="6">
        <f t="shared" si="1"/>
        <v>0</v>
      </c>
    </row>
    <row r="4" spans="1:12" x14ac:dyDescent="0.3">
      <c r="A4" s="5">
        <v>1</v>
      </c>
      <c r="B4" s="5" t="s">
        <v>17</v>
      </c>
      <c r="C4" s="5">
        <v>3</v>
      </c>
      <c r="D4" s="4" t="s">
        <v>12</v>
      </c>
      <c r="E4" s="10">
        <v>3</v>
      </c>
      <c r="F4" s="8" t="str">
        <f t="shared" si="0"/>
        <v>V</v>
      </c>
      <c r="H4" s="7" t="s">
        <v>21</v>
      </c>
      <c r="I4" s="7">
        <f>COUNTIF(F1:F10,"V")*10</f>
        <v>100</v>
      </c>
      <c r="L4" s="6">
        <f t="shared" si="1"/>
        <v>3</v>
      </c>
    </row>
    <row r="5" spans="1:12" x14ac:dyDescent="0.3">
      <c r="A5" s="5">
        <v>1</v>
      </c>
      <c r="B5" s="5" t="s">
        <v>19</v>
      </c>
      <c r="C5" s="5">
        <v>5</v>
      </c>
      <c r="D5" s="4" t="s">
        <v>12</v>
      </c>
      <c r="E5" s="10">
        <v>0.2</v>
      </c>
      <c r="F5" s="8" t="str">
        <f t="shared" si="0"/>
        <v>V</v>
      </c>
      <c r="L5" s="6">
        <f t="shared" si="1"/>
        <v>0.2</v>
      </c>
    </row>
    <row r="6" spans="1:12" x14ac:dyDescent="0.3">
      <c r="A6" s="5">
        <v>1</v>
      </c>
      <c r="B6" s="5" t="s">
        <v>15</v>
      </c>
      <c r="C6" s="5">
        <v>4</v>
      </c>
      <c r="D6" s="4" t="s">
        <v>12</v>
      </c>
      <c r="E6" s="10">
        <v>-3</v>
      </c>
      <c r="F6" s="8" t="str">
        <f t="shared" si="0"/>
        <v>V</v>
      </c>
      <c r="L6" s="6">
        <f t="shared" si="1"/>
        <v>-3</v>
      </c>
    </row>
    <row r="7" spans="1:12" x14ac:dyDescent="0.3">
      <c r="A7" s="5">
        <v>2</v>
      </c>
      <c r="B7" s="5" t="s">
        <v>15</v>
      </c>
      <c r="C7" s="5">
        <v>3</v>
      </c>
      <c r="D7" s="4" t="s">
        <v>12</v>
      </c>
      <c r="E7" s="10">
        <v>-1</v>
      </c>
      <c r="F7" s="8" t="str">
        <f t="shared" si="0"/>
        <v>V</v>
      </c>
      <c r="L7" s="6">
        <f t="shared" si="1"/>
        <v>-1</v>
      </c>
    </row>
    <row r="8" spans="1:12" x14ac:dyDescent="0.3">
      <c r="A8" s="5">
        <v>4</v>
      </c>
      <c r="B8" s="5" t="s">
        <v>15</v>
      </c>
      <c r="C8" s="5">
        <v>1</v>
      </c>
      <c r="D8" s="4" t="s">
        <v>12</v>
      </c>
      <c r="E8" s="10">
        <v>3</v>
      </c>
      <c r="F8" s="8" t="str">
        <f t="shared" si="0"/>
        <v>V</v>
      </c>
      <c r="L8" s="6">
        <f t="shared" si="1"/>
        <v>3</v>
      </c>
    </row>
    <row r="9" spans="1:12" x14ac:dyDescent="0.3">
      <c r="A9" s="5">
        <v>1</v>
      </c>
      <c r="B9" s="5" t="s">
        <v>13</v>
      </c>
      <c r="C9" s="5">
        <v>2</v>
      </c>
      <c r="D9" s="4" t="s">
        <v>12</v>
      </c>
      <c r="E9" s="10">
        <v>3</v>
      </c>
      <c r="F9" s="8" t="str">
        <f t="shared" si="0"/>
        <v>V</v>
      </c>
      <c r="L9" s="6">
        <f t="shared" si="1"/>
        <v>3</v>
      </c>
    </row>
    <row r="10" spans="1:12" x14ac:dyDescent="0.3">
      <c r="A10" s="5">
        <v>5</v>
      </c>
      <c r="B10" s="5" t="s">
        <v>17</v>
      </c>
      <c r="C10" s="5">
        <v>3</v>
      </c>
      <c r="D10" s="4" t="s">
        <v>12</v>
      </c>
      <c r="E10" s="11">
        <v>15</v>
      </c>
      <c r="F10" s="8" t="str">
        <f t="shared" si="0"/>
        <v>V</v>
      </c>
      <c r="L10" s="6">
        <f t="shared" si="1"/>
        <v>15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BA1B-4749-476D-A80C-6B927FA30C31}">
  <sheetPr codeName="Sheet5"/>
  <dimension ref="A1:Y9"/>
  <sheetViews>
    <sheetView tabSelected="1" workbookViewId="0">
      <selection activeCell="J7" sqref="J7"/>
    </sheetView>
  </sheetViews>
  <sheetFormatPr defaultRowHeight="15" x14ac:dyDescent="0.3"/>
  <cols>
    <col min="5" max="5" width="14.25" customWidth="1"/>
  </cols>
  <sheetData>
    <row r="1" spans="1:25" x14ac:dyDescent="0.3">
      <c r="A1" t="s">
        <v>24</v>
      </c>
      <c r="D1" t="str">
        <f>_xlfn.IFS($A$1=$U$1,U2,$A$1=$V$1,V2,$A$1=$W$1,W2,$A$1=$X$1,X2,$A$1=$Y$1,Y2,$A$1="clear","")</f>
        <v>Rate</v>
      </c>
      <c r="E1" s="14">
        <v>3</v>
      </c>
      <c r="U1" s="6" t="s">
        <v>23</v>
      </c>
      <c r="V1" s="6" t="s">
        <v>25</v>
      </c>
      <c r="W1" s="6" t="s">
        <v>26</v>
      </c>
      <c r="X1" s="6" t="s">
        <v>27</v>
      </c>
      <c r="Y1" s="6" t="s">
        <v>28</v>
      </c>
    </row>
    <row r="2" spans="1:25" x14ac:dyDescent="0.3">
      <c r="D2" t="str">
        <f t="shared" ref="D2:D4" si="0">_xlfn.IFS($A$1=$U$1,U3,$A$1=$V$1,V3,$A$1=$W$1,W3,$A$1=$X$1,X3,$A$1=$Y$1,Y3,$A$1="clear","")</f>
        <v>Nper</v>
      </c>
      <c r="E2">
        <v>4</v>
      </c>
      <c r="U2" s="6" t="s">
        <v>26</v>
      </c>
      <c r="V2" s="6" t="s">
        <v>26</v>
      </c>
      <c r="W2" s="6" t="s">
        <v>27</v>
      </c>
      <c r="X2" s="6" t="s">
        <v>26</v>
      </c>
      <c r="Y2" s="6" t="s">
        <v>26</v>
      </c>
    </row>
    <row r="3" spans="1:25" x14ac:dyDescent="0.3">
      <c r="D3" t="str">
        <f t="shared" si="0"/>
        <v>PMT</v>
      </c>
      <c r="E3">
        <v>100</v>
      </c>
      <c r="U3" s="6" t="s">
        <v>27</v>
      </c>
      <c r="V3" s="6" t="s">
        <v>27</v>
      </c>
      <c r="W3" s="6" t="s">
        <v>28</v>
      </c>
      <c r="X3" s="6" t="s">
        <v>28</v>
      </c>
      <c r="Y3" s="6" t="s">
        <v>27</v>
      </c>
    </row>
    <row r="4" spans="1:25" x14ac:dyDescent="0.3">
      <c r="A4" s="6" t="s">
        <v>22</v>
      </c>
      <c r="D4" t="str">
        <f t="shared" si="0"/>
        <v>PV</v>
      </c>
      <c r="E4">
        <v>300</v>
      </c>
      <c r="U4" s="6" t="s">
        <v>28</v>
      </c>
      <c r="V4" s="6" t="s">
        <v>28</v>
      </c>
      <c r="W4" s="6" t="s">
        <v>23</v>
      </c>
      <c r="X4" s="6" t="s">
        <v>23</v>
      </c>
      <c r="Y4" s="6" t="s">
        <v>23</v>
      </c>
    </row>
    <row r="5" spans="1:25" x14ac:dyDescent="0.3">
      <c r="A5" s="12" t="s">
        <v>23</v>
      </c>
      <c r="D5" t="str">
        <f>IF(A1="clear","",A1)</f>
        <v>FV</v>
      </c>
      <c r="E5" s="13">
        <f>IF(E4="","",_xlfn.IFS(A1="clear","",A1="PV",PV(E1,E2,E3,E4),A1="FV",FV(E1,E2,E3,E4),A1="Rate",RATE(E1,E2,E3,E4),A1="Nper",NPER(E1,E2,E3,E4),A1="PMT",PMT(E1,E2,E3,E4)))</f>
        <v>-85300</v>
      </c>
      <c r="U5" s="6" t="s">
        <v>25</v>
      </c>
      <c r="V5" s="6" t="s">
        <v>23</v>
      </c>
      <c r="W5" s="6" t="s">
        <v>25</v>
      </c>
      <c r="X5" s="6" t="s">
        <v>25</v>
      </c>
      <c r="Y5" s="6" t="s">
        <v>25</v>
      </c>
    </row>
    <row r="6" spans="1:25" x14ac:dyDescent="0.3">
      <c r="A6" s="12" t="s">
        <v>25</v>
      </c>
    </row>
    <row r="7" spans="1:25" x14ac:dyDescent="0.3">
      <c r="A7" s="12" t="s">
        <v>26</v>
      </c>
    </row>
    <row r="8" spans="1:25" x14ac:dyDescent="0.3">
      <c r="A8" s="12" t="s">
        <v>27</v>
      </c>
      <c r="G8" s="2"/>
    </row>
    <row r="9" spans="1:25" x14ac:dyDescent="0.3">
      <c r="A9" s="12" t="s">
        <v>28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boBox1">
          <controlPr defaultSize="0" autoLine="0" autoPict="0" linkedCell="A1" listFillRange="A4:A9" r:id="rId4">
            <anchor moveWithCells="1">
              <from>
                <xdr:col>0</xdr:col>
                <xdr:colOff>53340</xdr:colOff>
                <xdr:row>1</xdr:row>
                <xdr:rowOff>99060</xdr:rowOff>
              </from>
              <to>
                <xdr:col>2</xdr:col>
                <xdr:colOff>7620</xdr:colOff>
                <xdr:row>2</xdr:row>
                <xdr:rowOff>152400</xdr:rowOff>
              </to>
            </anchor>
          </controlPr>
        </control>
      </mc:Choice>
      <mc:Fallback>
        <control shapeId="2050" r:id="rId3" name="ComboBox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7D193C9B2CF4CB13D7332E9170741" ma:contentTypeVersion="11" ma:contentTypeDescription="Create a new document." ma:contentTypeScope="" ma:versionID="d1b230bb32e220c0a223b0a5d0eee6a2">
  <xsd:schema xmlns:xsd="http://www.w3.org/2001/XMLSchema" xmlns:xs="http://www.w3.org/2001/XMLSchema" xmlns:p="http://schemas.microsoft.com/office/2006/metadata/properties" xmlns:ns3="f065381b-d66d-4412-bddd-68009f5f4a61" targetNamespace="http://schemas.microsoft.com/office/2006/metadata/properties" ma:root="true" ma:fieldsID="fac9c7d569480c1eb5bc09b049a80c8b" ns3:_="">
    <xsd:import namespace="f065381b-d66d-4412-bddd-68009f5f4a6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65381b-d66d-4412-bddd-68009f5f4a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2A4E95-7261-4C8A-B6A2-141406E915EA}">
  <ds:schemaRefs>
    <ds:schemaRef ds:uri="http://purl.org/dc/dcmitype/"/>
    <ds:schemaRef ds:uri="http://www.w3.org/XML/1998/namespace"/>
    <ds:schemaRef ds:uri="f065381b-d66d-4412-bddd-68009f5f4a61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7D09895-2DD3-454A-91DA-6C8042D6A3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211383-0650-4C86-94B6-E1FD616FA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65381b-d66d-4412-bddd-68009f5f4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temperature conversion</vt:lpstr>
      <vt:lpstr>cal BMI</vt:lpstr>
      <vt:lpstr>BSM</vt:lpstr>
      <vt:lpstr>easy math</vt:lpstr>
      <vt:lpstr>TVM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2022-01-04T03:39:56Z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0x01010018D7D193C9B2CF4CB13D7332E9170741</vt:lpwstr>
  </property>
</Properties>
</file>