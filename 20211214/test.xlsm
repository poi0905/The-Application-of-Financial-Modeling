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dfg\OneDrive - g.ntu.edu.tw\NTU\110-1\110-1財務模型程式應用\20211214\"/>
    </mc:Choice>
  </mc:AlternateContent>
  <xr:revisionPtr revIDLastSave="1" documentId="8_{C476D485-3F63-438E-8ED6-738320B14A0A}" xr6:coauthVersionLast="36" xr6:coauthVersionMax="36" xr10:uidLastSave="{626305E7-ACA7-4DD6-BE0E-4DB393612AA6}"/>
  <bookViews>
    <workbookView xWindow="360" yWindow="120" windowWidth="28032" windowHeight="14136" activeTab="2" xr2:uid="{00000000-000D-0000-FFFF-FFFF00000000}"/>
  </bookViews>
  <sheets>
    <sheet name="Sheet1" sheetId="1" r:id="rId1"/>
    <sheet name="A1" sheetId="4" r:id="rId2"/>
    <sheet name="Sheet2" sheetId="2" r:id="rId3"/>
    <sheet name="Sheet3" sheetId="3" r:id="rId4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'A1'!$D$9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C8" i="2" l="1"/>
  <c r="D8" i="2" s="1"/>
  <c r="F8" i="2" s="1"/>
  <c r="C9" i="2"/>
  <c r="D9" i="2" s="1"/>
  <c r="F9" i="2" s="1"/>
  <c r="C10" i="2"/>
  <c r="E10" i="2" s="1"/>
  <c r="C11" i="2"/>
  <c r="D11" i="2" s="1"/>
  <c r="F11" i="2" s="1"/>
  <c r="C12" i="2"/>
  <c r="D12" i="2" s="1"/>
  <c r="F12" i="2" s="1"/>
  <c r="C13" i="2"/>
  <c r="D13" i="2" s="1"/>
  <c r="F13" i="2" s="1"/>
  <c r="C14" i="2"/>
  <c r="D14" i="2" s="1"/>
  <c r="F14" i="2" s="1"/>
  <c r="C15" i="2"/>
  <c r="D15" i="2" s="1"/>
  <c r="F15" i="2" s="1"/>
  <c r="C16" i="2"/>
  <c r="E16" i="2" s="1"/>
  <c r="C17" i="2"/>
  <c r="E17" i="2" s="1"/>
  <c r="C18" i="2"/>
  <c r="D18" i="2" s="1"/>
  <c r="F18" i="2" s="1"/>
  <c r="C19" i="2"/>
  <c r="E19" i="2" s="1"/>
  <c r="C20" i="2"/>
  <c r="D20" i="2" s="1"/>
  <c r="F20" i="2" s="1"/>
  <c r="C21" i="2"/>
  <c r="D21" i="2" s="1"/>
  <c r="F21" i="2" s="1"/>
  <c r="C22" i="2"/>
  <c r="E22" i="2" s="1"/>
  <c r="C23" i="2"/>
  <c r="D23" i="2" s="1"/>
  <c r="F23" i="2" s="1"/>
  <c r="C24" i="2"/>
  <c r="D24" i="2" s="1"/>
  <c r="F24" i="2" s="1"/>
  <c r="C25" i="2"/>
  <c r="D25" i="2" s="1"/>
  <c r="F25" i="2" s="1"/>
  <c r="C26" i="2"/>
  <c r="E26" i="2" s="1"/>
  <c r="C27" i="2"/>
  <c r="D27" i="2" s="1"/>
  <c r="F27" i="2" s="1"/>
  <c r="C28" i="2"/>
  <c r="D28" i="2" s="1"/>
  <c r="F28" i="2" s="1"/>
  <c r="C29" i="2"/>
  <c r="D29" i="2" s="1"/>
  <c r="F29" i="2" s="1"/>
  <c r="C30" i="2"/>
  <c r="E30" i="2" s="1"/>
  <c r="C31" i="2"/>
  <c r="D31" i="2" s="1"/>
  <c r="F31" i="2" s="1"/>
  <c r="C32" i="2"/>
  <c r="D32" i="2" s="1"/>
  <c r="F32" i="2" s="1"/>
  <c r="C33" i="2"/>
  <c r="E33" i="2" s="1"/>
  <c r="C34" i="2"/>
  <c r="E34" i="2" s="1"/>
  <c r="C35" i="2"/>
  <c r="E35" i="2" s="1"/>
  <c r="C7" i="2"/>
  <c r="E14" i="2" l="1"/>
  <c r="G14" i="2" s="1"/>
  <c r="E21" i="2"/>
  <c r="G21" i="2" s="1"/>
  <c r="D33" i="2"/>
  <c r="F33" i="2" s="1"/>
  <c r="G33" i="2" s="1"/>
  <c r="E9" i="2"/>
  <c r="G9" i="2" s="1"/>
  <c r="E18" i="2"/>
  <c r="G18" i="2" s="1"/>
  <c r="D35" i="2"/>
  <c r="F35" i="2" s="1"/>
  <c r="G35" i="2" s="1"/>
  <c r="E25" i="2"/>
  <c r="G25" i="2" s="1"/>
  <c r="D16" i="2"/>
  <c r="F16" i="2" s="1"/>
  <c r="G16" i="2" s="1"/>
  <c r="E23" i="2"/>
  <c r="G23" i="2" s="1"/>
  <c r="D30" i="2"/>
  <c r="F30" i="2" s="1"/>
  <c r="G30" i="2" s="1"/>
  <c r="E29" i="2"/>
  <c r="G29" i="2" s="1"/>
  <c r="D26" i="2"/>
  <c r="F26" i="2" s="1"/>
  <c r="G26" i="2" s="1"/>
  <c r="D19" i="2"/>
  <c r="F19" i="2" s="1"/>
  <c r="G19" i="2" s="1"/>
  <c r="D17" i="2"/>
  <c r="F17" i="2" s="1"/>
  <c r="G17" i="2" s="1"/>
  <c r="E11" i="2"/>
  <c r="G11" i="2" s="1"/>
  <c r="E31" i="2"/>
  <c r="G31" i="2" s="1"/>
  <c r="E28" i="2"/>
  <c r="G28" i="2" s="1"/>
  <c r="E24" i="2"/>
  <c r="G24" i="2" s="1"/>
  <c r="E13" i="2"/>
  <c r="G13" i="2" s="1"/>
  <c r="E12" i="2"/>
  <c r="G12" i="2" s="1"/>
  <c r="D22" i="2"/>
  <c r="F22" i="2" s="1"/>
  <c r="G22" i="2" s="1"/>
  <c r="D10" i="2"/>
  <c r="F10" i="2" s="1"/>
  <c r="G10" i="2" s="1"/>
  <c r="D34" i="2"/>
  <c r="F34" i="2" s="1"/>
  <c r="G34" i="2" s="1"/>
  <c r="E32" i="2"/>
  <c r="G32" i="2" s="1"/>
  <c r="E20" i="2"/>
  <c r="G20" i="2" s="1"/>
  <c r="E8" i="2"/>
  <c r="G8" i="2" s="1"/>
  <c r="E27" i="2"/>
  <c r="G27" i="2" s="1"/>
  <c r="E15" i="2"/>
  <c r="G15" i="2" s="1"/>
  <c r="E7" i="2"/>
  <c r="D13" i="4"/>
  <c r="H4" i="1"/>
  <c r="C13" i="4"/>
  <c r="D7" i="2" l="1"/>
  <c r="F7" i="2" s="1"/>
  <c r="G7" i="2" s="1"/>
  <c r="C14" i="4" l="1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E13" i="4" l="1"/>
  <c r="G13" i="4" s="1"/>
  <c r="D17" i="4"/>
  <c r="E17" i="4" s="1"/>
  <c r="G17" i="4" s="1"/>
  <c r="D16" i="4"/>
  <c r="F16" i="4" s="1"/>
  <c r="D15" i="4"/>
  <c r="E15" i="4" s="1"/>
  <c r="G15" i="4" s="1"/>
  <c r="D14" i="4"/>
  <c r="F14" i="4" s="1"/>
  <c r="D18" i="4"/>
  <c r="F18" i="4" s="1"/>
  <c r="D19" i="4"/>
  <c r="E19" i="4" s="1"/>
  <c r="G19" i="4" s="1"/>
  <c r="D20" i="4"/>
  <c r="E20" i="4" s="1"/>
  <c r="G20" i="4" s="1"/>
  <c r="D21" i="4"/>
  <c r="E21" i="4" s="1"/>
  <c r="G21" i="4" s="1"/>
  <c r="D22" i="4"/>
  <c r="E22" i="4" s="1"/>
  <c r="G22" i="4" s="1"/>
  <c r="D23" i="4"/>
  <c r="E23" i="4" s="1"/>
  <c r="G23" i="4" s="1"/>
  <c r="D24" i="4"/>
  <c r="E24" i="4" s="1"/>
  <c r="G24" i="4" s="1"/>
  <c r="D25" i="4"/>
  <c r="E25" i="4" s="1"/>
  <c r="G25" i="4" s="1"/>
  <c r="D26" i="4"/>
  <c r="E26" i="4" s="1"/>
  <c r="G26" i="4" s="1"/>
  <c r="D27" i="4"/>
  <c r="E27" i="4" s="1"/>
  <c r="G27" i="4" s="1"/>
  <c r="D28" i="4"/>
  <c r="E28" i="4" s="1"/>
  <c r="G28" i="4" s="1"/>
  <c r="D29" i="4"/>
  <c r="E29" i="4" s="1"/>
  <c r="G29" i="4" s="1"/>
  <c r="D30" i="4"/>
  <c r="E30" i="4" s="1"/>
  <c r="G30" i="4" s="1"/>
  <c r="D31" i="4"/>
  <c r="E31" i="4" s="1"/>
  <c r="G31" i="4" s="1"/>
  <c r="D32" i="4"/>
  <c r="E32" i="4" s="1"/>
  <c r="G32" i="4" s="1"/>
  <c r="D33" i="4"/>
  <c r="E33" i="4" s="1"/>
  <c r="G33" i="4" s="1"/>
  <c r="D34" i="4"/>
  <c r="E34" i="4" s="1"/>
  <c r="G34" i="4" s="1"/>
  <c r="D35" i="4"/>
  <c r="E35" i="4" s="1"/>
  <c r="G35" i="4" s="1"/>
  <c r="D36" i="4"/>
  <c r="E36" i="4" s="1"/>
  <c r="G36" i="4" s="1"/>
  <c r="D37" i="4"/>
  <c r="E37" i="4" s="1"/>
  <c r="G37" i="4" s="1"/>
  <c r="D38" i="4"/>
  <c r="E38" i="4" s="1"/>
  <c r="G38" i="4" s="1"/>
  <c r="D39" i="4"/>
  <c r="E39" i="4" s="1"/>
  <c r="G39" i="4" s="1"/>
  <c r="D40" i="4"/>
  <c r="E40" i="4" s="1"/>
  <c r="G40" i="4" s="1"/>
  <c r="D41" i="4"/>
  <c r="E41" i="4" s="1"/>
  <c r="G41" i="4" s="1"/>
  <c r="E18" i="4" l="1"/>
  <c r="G18" i="4" s="1"/>
  <c r="H18" i="4" s="1"/>
  <c r="F37" i="4"/>
  <c r="H37" i="4" s="1"/>
  <c r="F39" i="4"/>
  <c r="H39" i="4" s="1"/>
  <c r="F28" i="4"/>
  <c r="H28" i="4" s="1"/>
  <c r="F22" i="4"/>
  <c r="H22" i="4" s="1"/>
  <c r="F32" i="4"/>
  <c r="H32" i="4" s="1"/>
  <c r="F26" i="4"/>
  <c r="H26" i="4" s="1"/>
  <c r="F41" i="4"/>
  <c r="H41" i="4" s="1"/>
  <c r="F35" i="4"/>
  <c r="H35" i="4" s="1"/>
  <c r="F30" i="4"/>
  <c r="H30" i="4" s="1"/>
  <c r="F20" i="4"/>
  <c r="H20" i="4" s="1"/>
  <c r="F24" i="4"/>
  <c r="H24" i="4" s="1"/>
  <c r="F17" i="4"/>
  <c r="H17" i="4" s="1"/>
  <c r="F31" i="4"/>
  <c r="H31" i="4" s="1"/>
  <c r="F27" i="4"/>
  <c r="H27" i="4" s="1"/>
  <c r="F23" i="4"/>
  <c r="H23" i="4" s="1"/>
  <c r="F19" i="4"/>
  <c r="H19" i="4" s="1"/>
  <c r="F33" i="4"/>
  <c r="H33" i="4" s="1"/>
  <c r="F29" i="4"/>
  <c r="H29" i="4" s="1"/>
  <c r="F25" i="4"/>
  <c r="H25" i="4" s="1"/>
  <c r="F21" i="4"/>
  <c r="H21" i="4" s="1"/>
  <c r="E16" i="4"/>
  <c r="G16" i="4" s="1"/>
  <c r="H16" i="4" s="1"/>
  <c r="F15" i="4"/>
  <c r="H15" i="4" s="1"/>
  <c r="E14" i="4"/>
  <c r="G14" i="4" s="1"/>
  <c r="H14" i="4" s="1"/>
  <c r="F36" i="4"/>
  <c r="H36" i="4" s="1"/>
  <c r="F40" i="4"/>
  <c r="H40" i="4" s="1"/>
  <c r="F38" i="4"/>
  <c r="H38" i="4" s="1"/>
  <c r="F34" i="4"/>
  <c r="H34" i="4" s="1"/>
  <c r="F13" i="4"/>
  <c r="H13" i="4" s="1"/>
  <c r="I4" i="1"/>
</calcChain>
</file>

<file path=xl/sharedStrings.xml><?xml version="1.0" encoding="utf-8"?>
<sst xmlns="http://schemas.openxmlformats.org/spreadsheetml/2006/main" count="80" uniqueCount="66">
  <si>
    <t>International Business Machines Corporation (IBM)</t>
  </si>
  <si>
    <t>rf</t>
    <phoneticPr fontId="3" type="noConversion"/>
  </si>
  <si>
    <r>
      <t>155.38 </t>
    </r>
    <r>
      <rPr>
        <b/>
        <sz val="15"/>
        <color rgb="FFCC0000"/>
        <rFont val="Arial"/>
        <family val="2"/>
      </rPr>
      <t>-5.69(-3.53%) </t>
    </r>
    <r>
      <rPr>
        <sz val="11"/>
        <color rgb="FF999999"/>
        <rFont val="Inherit"/>
        <family val="2"/>
      </rPr>
      <t>NYSE - </t>
    </r>
    <r>
      <rPr>
        <sz val="11"/>
        <color rgb="FF979BA2"/>
        <rFont val="Arial"/>
        <family val="2"/>
      </rPr>
      <t>As of 4:00PM EST</t>
    </r>
  </si>
  <si>
    <t>S</t>
    <phoneticPr fontId="3" type="noConversion"/>
  </si>
  <si>
    <r>
      <t>After Hours: </t>
    </r>
    <r>
      <rPr>
        <b/>
        <sz val="11"/>
        <color rgb="FF000000"/>
        <rFont val="Arial"/>
        <family val="2"/>
      </rPr>
      <t>155.60</t>
    </r>
    <r>
      <rPr>
        <sz val="9"/>
        <color rgb="FF000000"/>
        <rFont val="Arial"/>
        <family val="2"/>
      </rPr>
      <t> </t>
    </r>
  </si>
  <si>
    <t>T</t>
    <phoneticPr fontId="3" type="noConversion"/>
  </si>
  <si>
    <r>
      <t> +0.22 (0.14%)</t>
    </r>
    <r>
      <rPr>
        <sz val="9"/>
        <color rgb="FF979BA2"/>
        <rFont val="Arial"/>
        <family val="2"/>
      </rPr>
      <t> 7:35PM EST</t>
    </r>
  </si>
  <si>
    <r>
      <t>December 20, 2014</t>
    </r>
    <r>
      <rPr>
        <sz val="11"/>
        <color rgb="FF128086"/>
        <rFont val="YGlyphs"/>
        <family val="2"/>
      </rPr>
      <t></t>
    </r>
  </si>
  <si>
    <t>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   </t>
  </si>
  <si>
    <t>Strike</t>
  </si>
  <si>
    <t>Contract Name</t>
  </si>
  <si>
    <t>Last</t>
  </si>
  <si>
    <t>Bid</t>
  </si>
  <si>
    <t>Ask</t>
  </si>
  <si>
    <t>Change</t>
  </si>
  <si>
    <t>%Change</t>
  </si>
  <si>
    <t>Volume</t>
  </si>
  <si>
    <t>Open Interest</t>
  </si>
  <si>
    <t>Implied Volatility</t>
  </si>
  <si>
    <t>IBM141220C00140000</t>
  </si>
  <si>
    <t>IBM141220C00145000</t>
  </si>
  <si>
    <t>IBM141220C00150000</t>
  </si>
  <si>
    <t>IBM141220C00152500</t>
  </si>
  <si>
    <t>IBM141220C00155000</t>
  </si>
  <si>
    <t>IBM141220C00157500</t>
  </si>
  <si>
    <t>IBM141220C00160000</t>
  </si>
  <si>
    <t>IBM141220C00162500</t>
  </si>
  <si>
    <t>IBM141220C00165000</t>
  </si>
  <si>
    <t>IBM141220C00167500</t>
  </si>
  <si>
    <t>IBM141220C00170000</t>
  </si>
  <si>
    <t>IBM141220C00172500</t>
  </si>
  <si>
    <t>IBM141220C00175000</t>
  </si>
  <si>
    <t>IBM141220C00180000</t>
  </si>
  <si>
    <t>IBM141220C00185000</t>
  </si>
  <si>
    <t>IBM141220C00190000</t>
  </si>
  <si>
    <t>IBM141220C00195000</t>
  </si>
  <si>
    <t>IBM141220C00200000</t>
  </si>
  <si>
    <t>IBM141220C00205000</t>
  </si>
  <si>
    <t>IBM141220C00210000</t>
  </si>
  <si>
    <t>IBM141220C00215000</t>
  </si>
  <si>
    <t>IBM141220C00220000</t>
  </si>
  <si>
    <t>IBM141220C00225000</t>
  </si>
  <si>
    <t>IBM141220C00230000</t>
  </si>
  <si>
    <t>IBM141220C00235000</t>
  </si>
  <si>
    <t>IBM141220C00240000</t>
  </si>
  <si>
    <t>IBM141220C00245000</t>
  </si>
  <si>
    <t>IBM141220C00250000</t>
  </si>
  <si>
    <t>IBM141220C00260000</t>
  </si>
  <si>
    <t>PREMIUM</t>
    <phoneticPr fontId="3" type="noConversion"/>
  </si>
  <si>
    <t>Option Pricing</t>
    <phoneticPr fontId="11" type="noConversion"/>
  </si>
  <si>
    <t>Black-Scholes Model</t>
    <phoneticPr fontId="11" type="noConversion"/>
  </si>
  <si>
    <t>X or K</t>
    <phoneticPr fontId="11" type="noConversion"/>
  </si>
  <si>
    <t>r</t>
    <phoneticPr fontId="11" type="noConversion"/>
  </si>
  <si>
    <t>T</t>
    <phoneticPr fontId="11" type="noConversion"/>
  </si>
  <si>
    <t>Sigma</t>
    <phoneticPr fontId="11" type="noConversion"/>
  </si>
  <si>
    <t>Call</t>
    <phoneticPr fontId="11" type="noConversion"/>
  </si>
  <si>
    <t>model price</t>
    <phoneticPr fontId="11" type="noConversion"/>
  </si>
  <si>
    <t>Stock price</t>
    <phoneticPr fontId="11" type="noConversion"/>
  </si>
  <si>
    <t>Call Payoff</t>
    <phoneticPr fontId="11" type="noConversion"/>
  </si>
  <si>
    <t>d1</t>
    <phoneticPr fontId="11" type="noConversion"/>
  </si>
  <si>
    <t>d2</t>
    <phoneticPr fontId="11" type="noConversion"/>
  </si>
  <si>
    <t>N(d1)</t>
    <phoneticPr fontId="11" type="noConversion"/>
  </si>
  <si>
    <t>N(d2)</t>
    <phoneticPr fontId="11" type="noConversion"/>
  </si>
  <si>
    <t>Call Price</t>
    <phoneticPr fontId="11" type="noConversion"/>
  </si>
  <si>
    <t>Market price</t>
    <phoneticPr fontId="11" type="noConversion"/>
  </si>
  <si>
    <t>Strike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</si>
</sst>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76" formatCode="0.000%"/>
    <numFmt numFmtId="177" formatCode="0.00000_);[Red]\(0.00000\)"/>
    <numFmt numFmtId="178" formatCode="0.000_);[Red]\(0.000\)"/>
  </numFmts>
  <fonts count="1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rgb="FF979BA2"/>
      <name val="Arial"/>
      <family val="2"/>
    </font>
    <font>
      <b/>
      <sz val="15"/>
      <color rgb="FFCC0000"/>
      <name val="Arial"/>
      <family val="2"/>
    </font>
    <font>
      <sz val="11"/>
      <color rgb="FF999999"/>
      <name val="Inherit"/>
      <family val="2"/>
    </font>
    <font>
      <b/>
      <sz val="11"/>
      <color rgb="FF000000"/>
      <name val="Arial"/>
      <family val="2"/>
    </font>
    <font>
      <sz val="9"/>
      <color rgb="FF000000"/>
      <name val="Arial"/>
      <family val="2"/>
    </font>
    <font>
      <sz val="9"/>
      <color rgb="FF979BA2"/>
      <name val="Arial"/>
      <family val="2"/>
    </font>
    <font>
      <sz val="11"/>
      <color rgb="FF128086"/>
      <name val="YGlyphs"/>
      <family val="2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0" fontId="0" fillId="0" borderId="0" xfId="1" applyNumberFormat="1" applyFont="1">
      <alignment vertical="center"/>
    </xf>
    <xf numFmtId="15" fontId="0" fillId="0" borderId="0" xfId="0" applyNumberFormat="1">
      <alignment vertical="center"/>
    </xf>
    <xf numFmtId="10" fontId="0" fillId="2" borderId="0" xfId="1" applyNumberFormat="1" applyFont="1" applyFill="1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176" fontId="0" fillId="0" borderId="0" xfId="1" applyNumberFormat="1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2" borderId="0" xfId="0" applyFont="1" applyFill="1">
      <alignment vertical="center"/>
    </xf>
    <xf numFmtId="176" fontId="13" fillId="2" borderId="0" xfId="1" applyNumberFormat="1" applyFont="1" applyFill="1">
      <alignment vertical="center"/>
    </xf>
    <xf numFmtId="9" fontId="13" fillId="0" borderId="0" xfId="0" applyNumberFormat="1" applyFont="1">
      <alignment vertical="center"/>
    </xf>
    <xf numFmtId="0" fontId="13" fillId="0" borderId="0" xfId="0" applyFont="1" applyFill="1">
      <alignment vertical="center"/>
    </xf>
    <xf numFmtId="177" fontId="13" fillId="0" borderId="0" xfId="2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1" applyNumberFormat="1" applyFont="1">
      <alignment vertical="center"/>
    </xf>
    <xf numFmtId="10" fontId="13" fillId="0" borderId="0" xfId="0" applyNumberFormat="1" applyFont="1">
      <alignment vertical="center"/>
    </xf>
    <xf numFmtId="0" fontId="13" fillId="0" borderId="0" xfId="0" applyFont="1" applyAlignment="1">
      <alignment vertical="center"/>
    </xf>
    <xf numFmtId="9" fontId="13" fillId="0" borderId="0" xfId="0" applyNumberFormat="1" applyFont="1" applyAlignment="1">
      <alignment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'A1'!$J$12</c:f>
              <c:strCache>
                <c:ptCount val="1"/>
                <c:pt idx="0">
                  <c:v>Implied Volatility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'A1'!$A$13:$A$41</c:f>
              <c:numCache>
                <c:formatCode>General</c:formatCode>
                <c:ptCount val="29"/>
                <c:pt idx="0">
                  <c:v>140</c:v>
                </c:pt>
                <c:pt idx="1">
                  <c:v>145</c:v>
                </c:pt>
                <c:pt idx="2">
                  <c:v>150</c:v>
                </c:pt>
                <c:pt idx="3">
                  <c:v>152.5</c:v>
                </c:pt>
                <c:pt idx="4">
                  <c:v>155</c:v>
                </c:pt>
                <c:pt idx="5">
                  <c:v>157.5</c:v>
                </c:pt>
                <c:pt idx="6">
                  <c:v>160</c:v>
                </c:pt>
                <c:pt idx="7">
                  <c:v>162.5</c:v>
                </c:pt>
                <c:pt idx="8">
                  <c:v>165</c:v>
                </c:pt>
                <c:pt idx="9">
                  <c:v>167.5</c:v>
                </c:pt>
                <c:pt idx="10">
                  <c:v>170</c:v>
                </c:pt>
                <c:pt idx="11">
                  <c:v>172.5</c:v>
                </c:pt>
                <c:pt idx="12">
                  <c:v>175</c:v>
                </c:pt>
                <c:pt idx="13">
                  <c:v>180</c:v>
                </c:pt>
                <c:pt idx="14">
                  <c:v>185</c:v>
                </c:pt>
                <c:pt idx="15">
                  <c:v>190</c:v>
                </c:pt>
                <c:pt idx="16">
                  <c:v>195</c:v>
                </c:pt>
                <c:pt idx="17">
                  <c:v>200</c:v>
                </c:pt>
                <c:pt idx="18">
                  <c:v>205</c:v>
                </c:pt>
                <c:pt idx="19">
                  <c:v>210</c:v>
                </c:pt>
                <c:pt idx="20">
                  <c:v>215</c:v>
                </c:pt>
                <c:pt idx="21">
                  <c:v>220</c:v>
                </c:pt>
                <c:pt idx="22">
                  <c:v>225</c:v>
                </c:pt>
                <c:pt idx="23">
                  <c:v>230</c:v>
                </c:pt>
                <c:pt idx="24">
                  <c:v>235</c:v>
                </c:pt>
                <c:pt idx="25">
                  <c:v>240</c:v>
                </c:pt>
                <c:pt idx="26">
                  <c:v>245</c:v>
                </c:pt>
                <c:pt idx="27">
                  <c:v>250</c:v>
                </c:pt>
                <c:pt idx="28">
                  <c:v>260</c:v>
                </c:pt>
              </c:numCache>
            </c:numRef>
          </c:xVal>
          <c:yVal>
            <c:numRef>
              <c:f>'A1'!$J$13:$J$41</c:f>
              <c:numCache>
                <c:formatCode>0.00%</c:formatCode>
                <c:ptCount val="29"/>
                <c:pt idx="0">
                  <c:v>0.6529228672629741</c:v>
                </c:pt>
                <c:pt idx="1">
                  <c:v>0.48623426728739888</c:v>
                </c:pt>
                <c:pt idx="2">
                  <c:v>0.35722406752902958</c:v>
                </c:pt>
                <c:pt idx="3">
                  <c:v>0.29926705467224568</c:v>
                </c:pt>
                <c:pt idx="4">
                  <c:v>0.25693648272969688</c:v>
                </c:pt>
                <c:pt idx="5">
                  <c:v>0.241575914995418</c:v>
                </c:pt>
                <c:pt idx="6">
                  <c:v>0.23627035061065177</c:v>
                </c:pt>
                <c:pt idx="7">
                  <c:v>0.25154282332848471</c:v>
                </c:pt>
                <c:pt idx="8">
                  <c:v>0.25753462478947675</c:v>
                </c:pt>
                <c:pt idx="9">
                  <c:v>0.27272357135854608</c:v>
                </c:pt>
                <c:pt idx="10">
                  <c:v>0.29326723194354154</c:v>
                </c:pt>
                <c:pt idx="11">
                  <c:v>0.33347192776296514</c:v>
                </c:pt>
                <c:pt idx="12">
                  <c:v>0.3069265707045758</c:v>
                </c:pt>
                <c:pt idx="13">
                  <c:v>0.39797655488517802</c:v>
                </c:pt>
                <c:pt idx="14">
                  <c:v>0.48263127970757497</c:v>
                </c:pt>
                <c:pt idx="15">
                  <c:v>0.48745759250465071</c:v>
                </c:pt>
                <c:pt idx="16">
                  <c:v>0.60828752064539404</c:v>
                </c:pt>
                <c:pt idx="17">
                  <c:v>0.6670285136643721</c:v>
                </c:pt>
                <c:pt idx="18">
                  <c:v>0.72565700194623606</c:v>
                </c:pt>
                <c:pt idx="19">
                  <c:v>0.75069211747318565</c:v>
                </c:pt>
                <c:pt idx="20">
                  <c:v>0.75069211747318565</c:v>
                </c:pt>
                <c:pt idx="21">
                  <c:v>0.79393368790619667</c:v>
                </c:pt>
                <c:pt idx="22">
                  <c:v>0.83965304976917432</c:v>
                </c:pt>
                <c:pt idx="23">
                  <c:v>0.98322795856095579</c:v>
                </c:pt>
                <c:pt idx="24">
                  <c:v>1.0304813602347751</c:v>
                </c:pt>
                <c:pt idx="25">
                  <c:v>1.0766718546784135</c:v>
                </c:pt>
                <c:pt idx="26">
                  <c:v>1.1216263480039057</c:v>
                </c:pt>
                <c:pt idx="27">
                  <c:v>1.1654001381764871</c:v>
                </c:pt>
                <c:pt idx="28">
                  <c:v>1.2496012877451914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52-4D29-9B67-35B089C78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85456"/>
        <c:axId val="71792400"/>
      </c:scatterChart>
      <c:valAx>
        <c:axId val="23478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792400"/>
        <c:crosses val="autoZero"/>
        <c:crossBetween val="midCat"/>
      </c:valAx>
      <c:valAx>
        <c:axId val="71792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478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95250</xdr:colOff>
      <xdr:row>4</xdr:row>
      <xdr:rowOff>133350</xdr:rowOff>
    </xdr:to>
    <xdr:pic>
      <xdr:nvPicPr>
        <xdr:cNvPr id="2" name="圖片 1" descr="U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63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129540</xdr:colOff>
      <xdr:row>6</xdr:row>
      <xdr:rowOff>60960</xdr:rowOff>
    </xdr:from>
    <xdr:to>
      <xdr:col>12</xdr:col>
      <xdr:colOff>434340</xdr:colOff>
      <xdr:row>10</xdr:row>
      <xdr:rowOff>182880</xdr:rowOff>
    </xdr:to>
    <xdr:pic macro="[0]!Macro5">
      <xdr:nvPicPr>
        <xdr:cNvPr id="3" name="Graphic 2" descr="New Wheelchair">
          <a:extLst>
            <a:ext uri="{FF2B5EF4-FFF2-40B4-BE49-F238E27FC236}">
              <a16:creationId xmlns:a16="http://schemas.microsoft.com/office/drawing/2014/main" id="{4D76DDA5-2135-4B88-A5A3-96386355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25540" y="1295400"/>
          <a:ext cx="914400" cy="914400"/>
        </a:xfrm>
        <a:prstGeom prst="rect">
          <a:avLst/>
        </a:prstGeom>
      </xdr:spPr>
    </xdr:pic>
    <xdr:clientData/>
  </xdr:twoCellAnchor>
  <xdr:twoCellAnchor>
    <xdr:from>
      <xdr:col>10</xdr:col>
      <xdr:colOff>281940</xdr:colOff>
      <xdr:row>11</xdr:row>
      <xdr:rowOff>0</xdr:rowOff>
    </xdr:from>
    <xdr:to>
      <xdr:col>17</xdr:col>
      <xdr:colOff>586740</xdr:colOff>
      <xdr:row>24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9B448F-2A46-4E45-9831-3BE1EE5D6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finance.yahoo.com/q?s=IBM141220C00175000" TargetMode="External"/><Relationship Id="rId18" Type="http://schemas.openxmlformats.org/officeDocument/2006/relationships/hyperlink" Target="http://finance.yahoo.com/q?s=IBM141220C00200000" TargetMode="External"/><Relationship Id="rId26" Type="http://schemas.openxmlformats.org/officeDocument/2006/relationships/hyperlink" Target="http://finance.yahoo.com/q?s=IBM141220C00240000" TargetMode="External"/><Relationship Id="rId39" Type="http://schemas.openxmlformats.org/officeDocument/2006/relationships/hyperlink" Target="http://finance.yahoo.com/q/op?s=IBM&amp;strike=210.00" TargetMode="External"/><Relationship Id="rId21" Type="http://schemas.openxmlformats.org/officeDocument/2006/relationships/hyperlink" Target="http://finance.yahoo.com/q?s=IBM141220C00215000" TargetMode="External"/><Relationship Id="rId34" Type="http://schemas.openxmlformats.org/officeDocument/2006/relationships/hyperlink" Target="http://finance.yahoo.com/q/op?s=IBM&amp;strike=235.00" TargetMode="External"/><Relationship Id="rId42" Type="http://schemas.openxmlformats.org/officeDocument/2006/relationships/hyperlink" Target="http://finance.yahoo.com/q/op?s=IBM&amp;strike=195.00" TargetMode="External"/><Relationship Id="rId47" Type="http://schemas.openxmlformats.org/officeDocument/2006/relationships/hyperlink" Target="http://finance.yahoo.com/q/op?s=IBM&amp;strike=172.50" TargetMode="External"/><Relationship Id="rId50" Type="http://schemas.openxmlformats.org/officeDocument/2006/relationships/hyperlink" Target="http://finance.yahoo.com/q/op?s=IBM&amp;strike=165.00" TargetMode="External"/><Relationship Id="rId55" Type="http://schemas.openxmlformats.org/officeDocument/2006/relationships/hyperlink" Target="http://finance.yahoo.com/q/op?s=IBM&amp;strike=152.50" TargetMode="External"/><Relationship Id="rId7" Type="http://schemas.openxmlformats.org/officeDocument/2006/relationships/hyperlink" Target="http://finance.yahoo.com/q?s=IBM141220C00160000" TargetMode="External"/><Relationship Id="rId2" Type="http://schemas.openxmlformats.org/officeDocument/2006/relationships/hyperlink" Target="http://finance.yahoo.com/q?s=IBM141220C00145000" TargetMode="External"/><Relationship Id="rId16" Type="http://schemas.openxmlformats.org/officeDocument/2006/relationships/hyperlink" Target="http://finance.yahoo.com/q?s=IBM141220C00190000" TargetMode="External"/><Relationship Id="rId29" Type="http://schemas.openxmlformats.org/officeDocument/2006/relationships/hyperlink" Target="http://finance.yahoo.com/q?s=IBM141220C00260000" TargetMode="External"/><Relationship Id="rId11" Type="http://schemas.openxmlformats.org/officeDocument/2006/relationships/hyperlink" Target="http://finance.yahoo.com/q?s=IBM141220C00170000" TargetMode="External"/><Relationship Id="rId24" Type="http://schemas.openxmlformats.org/officeDocument/2006/relationships/hyperlink" Target="http://finance.yahoo.com/q?s=IBM141220C00230000" TargetMode="External"/><Relationship Id="rId32" Type="http://schemas.openxmlformats.org/officeDocument/2006/relationships/hyperlink" Target="http://finance.yahoo.com/q/op?s=IBM&amp;strike=245.00" TargetMode="External"/><Relationship Id="rId37" Type="http://schemas.openxmlformats.org/officeDocument/2006/relationships/hyperlink" Target="http://finance.yahoo.com/q/op?s=IBM&amp;strike=220.00" TargetMode="External"/><Relationship Id="rId40" Type="http://schemas.openxmlformats.org/officeDocument/2006/relationships/hyperlink" Target="http://finance.yahoo.com/q/op?s=IBM&amp;strike=205.00" TargetMode="External"/><Relationship Id="rId45" Type="http://schemas.openxmlformats.org/officeDocument/2006/relationships/hyperlink" Target="http://finance.yahoo.com/q/op?s=IBM&amp;strike=180.00" TargetMode="External"/><Relationship Id="rId53" Type="http://schemas.openxmlformats.org/officeDocument/2006/relationships/hyperlink" Target="http://finance.yahoo.com/q/op?s=IBM&amp;strike=157.50" TargetMode="External"/><Relationship Id="rId58" Type="http://schemas.openxmlformats.org/officeDocument/2006/relationships/hyperlink" Target="http://finance.yahoo.com/q/op?s=IBM&amp;strike=140.00" TargetMode="External"/><Relationship Id="rId5" Type="http://schemas.openxmlformats.org/officeDocument/2006/relationships/hyperlink" Target="http://finance.yahoo.com/q?s=IBM141220C00155000" TargetMode="External"/><Relationship Id="rId19" Type="http://schemas.openxmlformats.org/officeDocument/2006/relationships/hyperlink" Target="http://finance.yahoo.com/q?s=IBM141220C00205000" TargetMode="External"/><Relationship Id="rId4" Type="http://schemas.openxmlformats.org/officeDocument/2006/relationships/hyperlink" Target="http://finance.yahoo.com/q?s=IBM141220C00152500" TargetMode="External"/><Relationship Id="rId9" Type="http://schemas.openxmlformats.org/officeDocument/2006/relationships/hyperlink" Target="http://finance.yahoo.com/q?s=IBM141220C00165000" TargetMode="External"/><Relationship Id="rId14" Type="http://schemas.openxmlformats.org/officeDocument/2006/relationships/hyperlink" Target="http://finance.yahoo.com/q?s=IBM141220C00180000" TargetMode="External"/><Relationship Id="rId22" Type="http://schemas.openxmlformats.org/officeDocument/2006/relationships/hyperlink" Target="http://finance.yahoo.com/q?s=IBM141220C00220000" TargetMode="External"/><Relationship Id="rId27" Type="http://schemas.openxmlformats.org/officeDocument/2006/relationships/hyperlink" Target="http://finance.yahoo.com/q?s=IBM141220C00245000" TargetMode="External"/><Relationship Id="rId30" Type="http://schemas.openxmlformats.org/officeDocument/2006/relationships/hyperlink" Target="http://finance.yahoo.com/q/op?s=IBM&amp;strike=260.00" TargetMode="External"/><Relationship Id="rId35" Type="http://schemas.openxmlformats.org/officeDocument/2006/relationships/hyperlink" Target="http://finance.yahoo.com/q/op?s=IBM&amp;strike=230.00" TargetMode="External"/><Relationship Id="rId43" Type="http://schemas.openxmlformats.org/officeDocument/2006/relationships/hyperlink" Target="http://finance.yahoo.com/q/op?s=IBM&amp;strike=190.00" TargetMode="External"/><Relationship Id="rId48" Type="http://schemas.openxmlformats.org/officeDocument/2006/relationships/hyperlink" Target="http://finance.yahoo.com/q/op?s=IBM&amp;strike=170.00" TargetMode="External"/><Relationship Id="rId56" Type="http://schemas.openxmlformats.org/officeDocument/2006/relationships/hyperlink" Target="http://finance.yahoo.com/q/op?s=IBM&amp;strike=150.00" TargetMode="External"/><Relationship Id="rId8" Type="http://schemas.openxmlformats.org/officeDocument/2006/relationships/hyperlink" Target="http://finance.yahoo.com/q?s=IBM141220C00162500" TargetMode="External"/><Relationship Id="rId51" Type="http://schemas.openxmlformats.org/officeDocument/2006/relationships/hyperlink" Target="http://finance.yahoo.com/q/op?s=IBM&amp;strike=162.50" TargetMode="External"/><Relationship Id="rId3" Type="http://schemas.openxmlformats.org/officeDocument/2006/relationships/hyperlink" Target="http://finance.yahoo.com/q?s=IBM141220C00150000" TargetMode="External"/><Relationship Id="rId12" Type="http://schemas.openxmlformats.org/officeDocument/2006/relationships/hyperlink" Target="http://finance.yahoo.com/q?s=IBM141220C00172500" TargetMode="External"/><Relationship Id="rId17" Type="http://schemas.openxmlformats.org/officeDocument/2006/relationships/hyperlink" Target="http://finance.yahoo.com/q?s=IBM141220C00195000" TargetMode="External"/><Relationship Id="rId25" Type="http://schemas.openxmlformats.org/officeDocument/2006/relationships/hyperlink" Target="http://finance.yahoo.com/q?s=IBM141220C00235000" TargetMode="External"/><Relationship Id="rId33" Type="http://schemas.openxmlformats.org/officeDocument/2006/relationships/hyperlink" Target="http://finance.yahoo.com/q/op?s=IBM&amp;strike=240.00" TargetMode="External"/><Relationship Id="rId38" Type="http://schemas.openxmlformats.org/officeDocument/2006/relationships/hyperlink" Target="http://finance.yahoo.com/q/op?s=IBM&amp;strike=215.00" TargetMode="External"/><Relationship Id="rId46" Type="http://schemas.openxmlformats.org/officeDocument/2006/relationships/hyperlink" Target="http://finance.yahoo.com/q/op?s=IBM&amp;strike=175.00" TargetMode="External"/><Relationship Id="rId59" Type="http://schemas.openxmlformats.org/officeDocument/2006/relationships/drawing" Target="../drawings/drawing1.xml"/><Relationship Id="rId20" Type="http://schemas.openxmlformats.org/officeDocument/2006/relationships/hyperlink" Target="http://finance.yahoo.com/q?s=IBM141220C00210000" TargetMode="External"/><Relationship Id="rId41" Type="http://schemas.openxmlformats.org/officeDocument/2006/relationships/hyperlink" Target="http://finance.yahoo.com/q/op?s=IBM&amp;strike=200.00" TargetMode="External"/><Relationship Id="rId54" Type="http://schemas.openxmlformats.org/officeDocument/2006/relationships/hyperlink" Target="http://finance.yahoo.com/q/op?s=IBM&amp;strike=155.00" TargetMode="External"/><Relationship Id="rId1" Type="http://schemas.openxmlformats.org/officeDocument/2006/relationships/hyperlink" Target="http://finance.yahoo.com/q?s=IBM141220C00140000" TargetMode="External"/><Relationship Id="rId6" Type="http://schemas.openxmlformats.org/officeDocument/2006/relationships/hyperlink" Target="http://finance.yahoo.com/q?s=IBM141220C00157500" TargetMode="External"/><Relationship Id="rId15" Type="http://schemas.openxmlformats.org/officeDocument/2006/relationships/hyperlink" Target="http://finance.yahoo.com/q?s=IBM141220C00185000" TargetMode="External"/><Relationship Id="rId23" Type="http://schemas.openxmlformats.org/officeDocument/2006/relationships/hyperlink" Target="http://finance.yahoo.com/q?s=IBM141220C00225000" TargetMode="External"/><Relationship Id="rId28" Type="http://schemas.openxmlformats.org/officeDocument/2006/relationships/hyperlink" Target="http://finance.yahoo.com/q?s=IBM141220C00250000" TargetMode="External"/><Relationship Id="rId36" Type="http://schemas.openxmlformats.org/officeDocument/2006/relationships/hyperlink" Target="http://finance.yahoo.com/q/op?s=IBM&amp;strike=225.00" TargetMode="External"/><Relationship Id="rId49" Type="http://schemas.openxmlformats.org/officeDocument/2006/relationships/hyperlink" Target="http://finance.yahoo.com/q/op?s=IBM&amp;strike=167.50" TargetMode="External"/><Relationship Id="rId57" Type="http://schemas.openxmlformats.org/officeDocument/2006/relationships/hyperlink" Target="http://finance.yahoo.com/q/op?s=IBM&amp;strike=145.00" TargetMode="External"/><Relationship Id="rId10" Type="http://schemas.openxmlformats.org/officeDocument/2006/relationships/hyperlink" Target="http://finance.yahoo.com/q?s=IBM141220C00167500" TargetMode="External"/><Relationship Id="rId31" Type="http://schemas.openxmlformats.org/officeDocument/2006/relationships/hyperlink" Target="http://finance.yahoo.com/q/op?s=IBM&amp;strike=250.00" TargetMode="External"/><Relationship Id="rId44" Type="http://schemas.openxmlformats.org/officeDocument/2006/relationships/hyperlink" Target="http://finance.yahoo.com/q/op?s=IBM&amp;strike=185.00" TargetMode="External"/><Relationship Id="rId52" Type="http://schemas.openxmlformats.org/officeDocument/2006/relationships/hyperlink" Target="http://finance.yahoo.com/q/op?s=IBM&amp;strike=160.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4"/>
  <sheetViews>
    <sheetView workbookViewId="0">
      <selection activeCell="H5" sqref="H5"/>
    </sheetView>
  </sheetViews>
  <sheetFormatPr defaultRowHeight="16.2"/>
  <cols>
    <col min="2" max="2" width="21.33203125" bestFit="1" customWidth="1"/>
    <col min="6" max="7" width="9.88671875" bestFit="1" customWidth="1"/>
  </cols>
  <sheetData>
    <row r="1" spans="1:10">
      <c r="A1" t="s">
        <v>0</v>
      </c>
    </row>
    <row r="2" spans="1:10">
      <c r="E2" t="s">
        <v>1</v>
      </c>
      <c r="F2" s="6">
        <v>1.3999999999999999E-4</v>
      </c>
    </row>
    <row r="3" spans="1:10" ht="19.2">
      <c r="A3" t="s">
        <v>2</v>
      </c>
      <c r="E3" t="s">
        <v>3</v>
      </c>
      <c r="F3">
        <v>155.38</v>
      </c>
    </row>
    <row r="4" spans="1:10">
      <c r="A4" t="s">
        <v>4</v>
      </c>
      <c r="E4" t="s">
        <v>5</v>
      </c>
      <c r="F4" s="2">
        <v>41993</v>
      </c>
      <c r="G4" s="2">
        <v>41985</v>
      </c>
      <c r="H4">
        <f>F4-G4</f>
        <v>8</v>
      </c>
      <c r="I4">
        <f>H4/365</f>
        <v>2.1917808219178082E-2</v>
      </c>
    </row>
    <row r="5" spans="1:10">
      <c r="A5" t="s">
        <v>6</v>
      </c>
    </row>
    <row r="6" spans="1:10">
      <c r="A6" t="s">
        <v>7</v>
      </c>
    </row>
    <row r="7" spans="1:10">
      <c r="A7" t="s">
        <v>8</v>
      </c>
    </row>
    <row r="8" spans="1:10">
      <c r="E8" s="5" t="s">
        <v>48</v>
      </c>
    </row>
    <row r="9" spans="1:10" ht="16.5" customHeight="1">
      <c r="A9" t="s">
        <v>9</v>
      </c>
      <c r="B9" t="s">
        <v>10</v>
      </c>
      <c r="C9" t="s">
        <v>11</v>
      </c>
      <c r="D9" t="s">
        <v>12</v>
      </c>
      <c r="E9" s="4" t="s">
        <v>13</v>
      </c>
      <c r="F9" t="s">
        <v>14</v>
      </c>
      <c r="G9" t="s">
        <v>15</v>
      </c>
      <c r="H9" t="s">
        <v>16</v>
      </c>
      <c r="I9" t="s">
        <v>17</v>
      </c>
      <c r="J9" s="4" t="s">
        <v>18</v>
      </c>
    </row>
    <row r="10" spans="1:10">
      <c r="A10">
        <v>140</v>
      </c>
      <c r="B10" t="s">
        <v>19</v>
      </c>
      <c r="C10">
        <v>48.03</v>
      </c>
      <c r="D10">
        <v>14.55</v>
      </c>
      <c r="E10" s="4">
        <v>16.399999999999999</v>
      </c>
      <c r="F10">
        <v>0</v>
      </c>
      <c r="G10">
        <v>0</v>
      </c>
      <c r="H10">
        <v>0</v>
      </c>
      <c r="I10">
        <v>0</v>
      </c>
      <c r="J10" s="3"/>
    </row>
    <row r="11" spans="1:10">
      <c r="A11">
        <v>145</v>
      </c>
      <c r="B11" t="s">
        <v>20</v>
      </c>
      <c r="C11">
        <v>11.25</v>
      </c>
      <c r="D11">
        <v>10.45</v>
      </c>
      <c r="E11" s="4">
        <v>11.35</v>
      </c>
      <c r="F11">
        <v>0</v>
      </c>
      <c r="G11">
        <v>0</v>
      </c>
      <c r="H11">
        <v>4</v>
      </c>
      <c r="I11">
        <v>36</v>
      </c>
      <c r="J11" s="3"/>
    </row>
    <row r="12" spans="1:10">
      <c r="A12">
        <v>150</v>
      </c>
      <c r="B12" t="s">
        <v>21</v>
      </c>
      <c r="C12">
        <v>6.35</v>
      </c>
      <c r="D12">
        <v>6</v>
      </c>
      <c r="E12" s="4">
        <v>6.6</v>
      </c>
      <c r="F12">
        <v>0</v>
      </c>
      <c r="G12">
        <v>0</v>
      </c>
      <c r="H12">
        <v>39</v>
      </c>
      <c r="I12">
        <v>93</v>
      </c>
      <c r="J12" s="3"/>
    </row>
    <row r="13" spans="1:10">
      <c r="A13">
        <v>152.5</v>
      </c>
      <c r="B13" t="s">
        <v>22</v>
      </c>
      <c r="C13">
        <v>4.3</v>
      </c>
      <c r="D13">
        <v>4</v>
      </c>
      <c r="E13" s="4">
        <v>4.4000000000000004</v>
      </c>
      <c r="F13">
        <v>0</v>
      </c>
      <c r="G13">
        <v>0</v>
      </c>
      <c r="H13">
        <v>10</v>
      </c>
      <c r="I13">
        <v>3</v>
      </c>
      <c r="J13" s="3"/>
    </row>
    <row r="14" spans="1:10">
      <c r="A14">
        <v>155</v>
      </c>
      <c r="B14" t="s">
        <v>23</v>
      </c>
      <c r="C14">
        <v>2.44</v>
      </c>
      <c r="D14">
        <v>2.34</v>
      </c>
      <c r="E14" s="4">
        <v>2.5499999999999998</v>
      </c>
      <c r="F14">
        <v>0</v>
      </c>
      <c r="G14">
        <v>0</v>
      </c>
      <c r="H14">
        <v>504</v>
      </c>
      <c r="I14">
        <v>273</v>
      </c>
      <c r="J14" s="3"/>
    </row>
    <row r="15" spans="1:10">
      <c r="A15">
        <v>157.5</v>
      </c>
      <c r="B15" t="s">
        <v>24</v>
      </c>
      <c r="C15">
        <v>1.33</v>
      </c>
      <c r="D15">
        <v>1.18</v>
      </c>
      <c r="E15" s="4">
        <v>1.33</v>
      </c>
      <c r="F15">
        <v>0</v>
      </c>
      <c r="G15">
        <v>0</v>
      </c>
      <c r="H15">
        <v>1084</v>
      </c>
      <c r="I15">
        <v>92</v>
      </c>
      <c r="J15" s="3"/>
    </row>
    <row r="16" spans="1:10">
      <c r="A16">
        <v>160</v>
      </c>
      <c r="B16" t="s">
        <v>25</v>
      </c>
      <c r="C16">
        <v>0.59</v>
      </c>
      <c r="D16">
        <v>0.55000000000000004</v>
      </c>
      <c r="E16" s="4">
        <v>0.62</v>
      </c>
      <c r="F16">
        <v>-0.38</v>
      </c>
      <c r="G16">
        <v>-0.1759</v>
      </c>
      <c r="H16">
        <v>3586</v>
      </c>
      <c r="I16">
        <v>2172</v>
      </c>
      <c r="J16" s="3"/>
    </row>
    <row r="17" spans="1:10">
      <c r="A17">
        <v>162.5</v>
      </c>
      <c r="B17" t="s">
        <v>26</v>
      </c>
      <c r="C17">
        <v>0.27</v>
      </c>
      <c r="D17">
        <v>0.26</v>
      </c>
      <c r="E17" s="4">
        <v>0.33</v>
      </c>
      <c r="F17">
        <v>-0.21</v>
      </c>
      <c r="G17">
        <v>-0.23080000000000001</v>
      </c>
      <c r="H17">
        <v>1201</v>
      </c>
      <c r="I17">
        <v>1657</v>
      </c>
      <c r="J17" s="3"/>
    </row>
    <row r="18" spans="1:10">
      <c r="A18">
        <v>165</v>
      </c>
      <c r="B18" t="s">
        <v>27</v>
      </c>
      <c r="C18">
        <v>0.13</v>
      </c>
      <c r="D18">
        <v>0.14000000000000001</v>
      </c>
      <c r="E18" s="4">
        <v>0.15</v>
      </c>
      <c r="F18">
        <v>-0.1</v>
      </c>
      <c r="G18">
        <v>-0.33329999999999999</v>
      </c>
      <c r="H18">
        <v>3807</v>
      </c>
      <c r="I18">
        <v>9018</v>
      </c>
      <c r="J18" s="3"/>
    </row>
    <row r="19" spans="1:10">
      <c r="A19">
        <v>167.5</v>
      </c>
      <c r="B19" t="s">
        <v>28</v>
      </c>
      <c r="C19">
        <v>0.08</v>
      </c>
      <c r="D19">
        <v>0.06</v>
      </c>
      <c r="E19" s="4">
        <v>0.08</v>
      </c>
      <c r="F19">
        <v>0</v>
      </c>
      <c r="G19">
        <v>0</v>
      </c>
      <c r="H19">
        <v>552</v>
      </c>
      <c r="I19">
        <v>1319</v>
      </c>
      <c r="J19" s="3"/>
    </row>
    <row r="20" spans="1:10">
      <c r="A20">
        <v>170</v>
      </c>
      <c r="B20" t="s">
        <v>29</v>
      </c>
      <c r="C20">
        <v>0.04</v>
      </c>
      <c r="D20">
        <v>0.02</v>
      </c>
      <c r="E20" s="4">
        <v>0.05</v>
      </c>
      <c r="F20">
        <v>0.02</v>
      </c>
      <c r="G20">
        <v>1</v>
      </c>
      <c r="H20">
        <v>511</v>
      </c>
      <c r="I20">
        <v>6358</v>
      </c>
      <c r="J20" s="3"/>
    </row>
    <row r="21" spans="1:10">
      <c r="A21">
        <v>172.5</v>
      </c>
      <c r="B21" t="s">
        <v>30</v>
      </c>
      <c r="C21">
        <v>0.01</v>
      </c>
      <c r="D21">
        <v>0</v>
      </c>
      <c r="E21" s="4">
        <v>0.05</v>
      </c>
      <c r="F21">
        <v>0</v>
      </c>
      <c r="G21">
        <v>0</v>
      </c>
      <c r="H21">
        <v>91</v>
      </c>
      <c r="I21">
        <v>293</v>
      </c>
      <c r="J21" s="3"/>
    </row>
    <row r="22" spans="1:10">
      <c r="A22">
        <v>175</v>
      </c>
      <c r="B22" t="s">
        <v>31</v>
      </c>
      <c r="C22">
        <v>0.01</v>
      </c>
      <c r="D22">
        <v>0</v>
      </c>
      <c r="E22" s="4">
        <v>0.01</v>
      </c>
      <c r="F22">
        <v>0</v>
      </c>
      <c r="G22">
        <v>0</v>
      </c>
      <c r="H22">
        <v>43</v>
      </c>
      <c r="I22">
        <v>4428</v>
      </c>
      <c r="J22" s="3"/>
    </row>
    <row r="23" spans="1:10">
      <c r="A23">
        <v>180</v>
      </c>
      <c r="B23" t="s">
        <v>32</v>
      </c>
      <c r="C23">
        <v>0.02</v>
      </c>
      <c r="D23">
        <v>0</v>
      </c>
      <c r="E23" s="4">
        <v>0.02</v>
      </c>
      <c r="F23">
        <v>0</v>
      </c>
      <c r="G23">
        <v>0</v>
      </c>
      <c r="H23">
        <v>2</v>
      </c>
      <c r="I23">
        <v>1448</v>
      </c>
      <c r="J23" s="3"/>
    </row>
    <row r="24" spans="1:10">
      <c r="A24">
        <v>185</v>
      </c>
      <c r="B24" t="s">
        <v>33</v>
      </c>
      <c r="C24">
        <v>0.03</v>
      </c>
      <c r="D24">
        <v>0</v>
      </c>
      <c r="E24" s="4">
        <v>0.03</v>
      </c>
      <c r="F24">
        <v>0</v>
      </c>
      <c r="G24">
        <v>0</v>
      </c>
      <c r="H24">
        <v>149</v>
      </c>
      <c r="I24">
        <v>991</v>
      </c>
      <c r="J24" s="3"/>
    </row>
    <row r="25" spans="1:10">
      <c r="A25">
        <v>190</v>
      </c>
      <c r="B25" t="s">
        <v>34</v>
      </c>
      <c r="C25">
        <v>0.02</v>
      </c>
      <c r="D25">
        <v>0</v>
      </c>
      <c r="E25" s="4">
        <v>0.01</v>
      </c>
      <c r="F25">
        <v>0</v>
      </c>
      <c r="G25">
        <v>0</v>
      </c>
      <c r="H25">
        <v>7</v>
      </c>
      <c r="I25">
        <v>1427</v>
      </c>
      <c r="J25" s="3"/>
    </row>
    <row r="26" spans="1:10">
      <c r="A26">
        <v>195</v>
      </c>
      <c r="B26" t="s">
        <v>35</v>
      </c>
      <c r="C26">
        <v>0.01</v>
      </c>
      <c r="D26">
        <v>0</v>
      </c>
      <c r="E26" s="4">
        <v>0.03</v>
      </c>
      <c r="F26">
        <v>0</v>
      </c>
      <c r="G26">
        <v>0</v>
      </c>
      <c r="H26">
        <v>5</v>
      </c>
      <c r="I26">
        <v>1601</v>
      </c>
      <c r="J26" s="3"/>
    </row>
    <row r="27" spans="1:10">
      <c r="A27">
        <v>200</v>
      </c>
      <c r="B27" t="s">
        <v>36</v>
      </c>
      <c r="C27">
        <v>0.02</v>
      </c>
      <c r="D27">
        <v>0</v>
      </c>
      <c r="E27" s="4">
        <v>0.03</v>
      </c>
      <c r="F27">
        <v>0</v>
      </c>
      <c r="G27">
        <v>0</v>
      </c>
      <c r="H27">
        <v>1</v>
      </c>
      <c r="I27">
        <v>929</v>
      </c>
      <c r="J27" s="3"/>
    </row>
    <row r="28" spans="1:10">
      <c r="A28">
        <v>205</v>
      </c>
      <c r="B28" t="s">
        <v>37</v>
      </c>
      <c r="C28">
        <v>0.02</v>
      </c>
      <c r="D28">
        <v>0</v>
      </c>
      <c r="E28" s="4">
        <v>0.03</v>
      </c>
      <c r="F28">
        <v>0</v>
      </c>
      <c r="G28">
        <v>0</v>
      </c>
      <c r="H28">
        <v>1</v>
      </c>
      <c r="I28">
        <v>907</v>
      </c>
      <c r="J28" s="3"/>
    </row>
    <row r="29" spans="1:10">
      <c r="A29">
        <v>210</v>
      </c>
      <c r="B29" t="s">
        <v>38</v>
      </c>
      <c r="C29">
        <v>0.01</v>
      </c>
      <c r="D29">
        <v>0</v>
      </c>
      <c r="E29" s="4">
        <v>0.02</v>
      </c>
      <c r="F29">
        <v>0</v>
      </c>
      <c r="G29">
        <v>0</v>
      </c>
      <c r="H29">
        <v>1</v>
      </c>
      <c r="I29">
        <v>241</v>
      </c>
      <c r="J29" s="3"/>
    </row>
    <row r="30" spans="1:10">
      <c r="A30">
        <v>215</v>
      </c>
      <c r="B30" t="s">
        <v>39</v>
      </c>
      <c r="C30">
        <v>0.01</v>
      </c>
      <c r="D30">
        <v>0</v>
      </c>
      <c r="E30" s="4">
        <v>0.01</v>
      </c>
      <c r="F30">
        <v>0</v>
      </c>
      <c r="G30">
        <v>0</v>
      </c>
      <c r="H30">
        <v>5</v>
      </c>
      <c r="I30">
        <v>323</v>
      </c>
      <c r="J30" s="3"/>
    </row>
    <row r="31" spans="1:10">
      <c r="A31">
        <v>220</v>
      </c>
      <c r="B31" t="s">
        <v>40</v>
      </c>
      <c r="C31">
        <v>0.09</v>
      </c>
      <c r="D31">
        <v>0</v>
      </c>
      <c r="E31" s="4">
        <v>0.01</v>
      </c>
      <c r="F31">
        <v>0</v>
      </c>
      <c r="G31">
        <v>0</v>
      </c>
      <c r="H31">
        <v>0</v>
      </c>
      <c r="I31">
        <v>53</v>
      </c>
      <c r="J31" s="3"/>
    </row>
    <row r="32" spans="1:10">
      <c r="A32">
        <v>225</v>
      </c>
      <c r="B32" t="s">
        <v>41</v>
      </c>
      <c r="C32">
        <v>0.21</v>
      </c>
      <c r="D32">
        <v>0</v>
      </c>
      <c r="E32" s="4">
        <v>0.01</v>
      </c>
      <c r="F32">
        <v>0</v>
      </c>
      <c r="G32">
        <v>0</v>
      </c>
      <c r="H32">
        <v>0</v>
      </c>
      <c r="I32">
        <v>12</v>
      </c>
      <c r="J32" s="3"/>
    </row>
    <row r="33" spans="1:10">
      <c r="A33">
        <v>230</v>
      </c>
      <c r="B33" t="s">
        <v>42</v>
      </c>
      <c r="C33">
        <v>0.13</v>
      </c>
      <c r="D33">
        <v>0</v>
      </c>
      <c r="E33" s="4">
        <v>0.03</v>
      </c>
      <c r="F33">
        <v>0</v>
      </c>
      <c r="G33">
        <v>0</v>
      </c>
      <c r="H33">
        <v>0</v>
      </c>
      <c r="I33">
        <v>21</v>
      </c>
      <c r="J33" s="3"/>
    </row>
    <row r="34" spans="1:10">
      <c r="A34">
        <v>235</v>
      </c>
      <c r="B34" t="s">
        <v>43</v>
      </c>
      <c r="C34">
        <v>0.12</v>
      </c>
      <c r="D34">
        <v>0</v>
      </c>
      <c r="E34" s="4">
        <v>0.03</v>
      </c>
      <c r="F34">
        <v>0</v>
      </c>
      <c r="G34">
        <v>0</v>
      </c>
      <c r="H34">
        <v>0</v>
      </c>
      <c r="I34">
        <v>2</v>
      </c>
      <c r="J34" s="3"/>
    </row>
    <row r="35" spans="1:10">
      <c r="A35">
        <v>240</v>
      </c>
      <c r="B35" t="s">
        <v>44</v>
      </c>
      <c r="C35">
        <v>0.04</v>
      </c>
      <c r="D35">
        <v>0</v>
      </c>
      <c r="E35" s="4">
        <v>0.03</v>
      </c>
      <c r="F35">
        <v>0</v>
      </c>
      <c r="G35">
        <v>0</v>
      </c>
      <c r="H35">
        <v>0</v>
      </c>
      <c r="I35">
        <v>4</v>
      </c>
      <c r="J35" s="3"/>
    </row>
    <row r="36" spans="1:10">
      <c r="A36">
        <v>245</v>
      </c>
      <c r="B36" t="s">
        <v>45</v>
      </c>
      <c r="C36">
        <v>0.04</v>
      </c>
      <c r="D36">
        <v>0</v>
      </c>
      <c r="E36" s="4">
        <v>0.03</v>
      </c>
      <c r="F36">
        <v>0</v>
      </c>
      <c r="G36">
        <v>0</v>
      </c>
      <c r="H36">
        <v>0</v>
      </c>
      <c r="I36">
        <v>1</v>
      </c>
      <c r="J36" s="3"/>
    </row>
    <row r="37" spans="1:10">
      <c r="A37">
        <v>250</v>
      </c>
      <c r="B37" t="s">
        <v>46</v>
      </c>
      <c r="C37">
        <v>0.04</v>
      </c>
      <c r="D37">
        <v>0</v>
      </c>
      <c r="E37" s="4">
        <v>0.03</v>
      </c>
      <c r="F37">
        <v>0</v>
      </c>
      <c r="G37">
        <v>0</v>
      </c>
      <c r="H37">
        <v>0</v>
      </c>
      <c r="I37">
        <v>35</v>
      </c>
      <c r="J37" s="3"/>
    </row>
    <row r="38" spans="1:10">
      <c r="A38">
        <v>260</v>
      </c>
      <c r="B38" t="s">
        <v>47</v>
      </c>
      <c r="C38">
        <v>0.03</v>
      </c>
      <c r="D38">
        <v>0</v>
      </c>
      <c r="E38" s="4">
        <v>0.03</v>
      </c>
      <c r="F38">
        <v>0</v>
      </c>
      <c r="G38">
        <v>0</v>
      </c>
      <c r="H38">
        <v>0</v>
      </c>
      <c r="I38">
        <v>1</v>
      </c>
      <c r="J38" s="3"/>
    </row>
    <row r="40" spans="1:10" ht="16.5" customHeight="1"/>
    <row r="43" spans="1:10">
      <c r="J43" s="1"/>
    </row>
    <row r="44" spans="1:10">
      <c r="J44" s="1"/>
    </row>
    <row r="45" spans="1:10">
      <c r="J45" s="1"/>
    </row>
    <row r="46" spans="1:10">
      <c r="J46" s="1"/>
    </row>
    <row r="47" spans="1:10">
      <c r="J47" s="1"/>
    </row>
    <row r="48" spans="1:10">
      <c r="J48" s="1"/>
    </row>
    <row r="49" spans="10:10">
      <c r="J49" s="1"/>
    </row>
    <row r="50" spans="10:10">
      <c r="J50" s="1"/>
    </row>
    <row r="51" spans="10:10">
      <c r="J51" s="1"/>
    </row>
    <row r="52" spans="10:10">
      <c r="J52" s="1"/>
    </row>
    <row r="53" spans="10:10">
      <c r="J53" s="1"/>
    </row>
    <row r="54" spans="10:10">
      <c r="J54" s="1"/>
    </row>
    <row r="55" spans="10:10">
      <c r="J55" s="1"/>
    </row>
    <row r="56" spans="10:10">
      <c r="J56" s="1"/>
    </row>
    <row r="57" spans="10:10">
      <c r="J57" s="1"/>
    </row>
    <row r="58" spans="10:10">
      <c r="J58" s="1"/>
    </row>
    <row r="59" spans="10:10">
      <c r="J59" s="1"/>
    </row>
    <row r="60" spans="10:10">
      <c r="J60" s="1"/>
    </row>
    <row r="61" spans="10:10">
      <c r="J61" s="1"/>
    </row>
    <row r="62" spans="10:10">
      <c r="J62" s="1"/>
    </row>
    <row r="63" spans="10:10">
      <c r="J63" s="1"/>
    </row>
    <row r="64" spans="10:10">
      <c r="J64" s="1"/>
    </row>
    <row r="65" spans="10:10">
      <c r="J65" s="1"/>
    </row>
    <row r="66" spans="10:10">
      <c r="J66" s="1"/>
    </row>
    <row r="67" spans="10:10">
      <c r="J67" s="1"/>
    </row>
    <row r="68" spans="10:10">
      <c r="J68" s="1"/>
    </row>
    <row r="69" spans="10:10">
      <c r="J69" s="1"/>
    </row>
    <row r="70" spans="10:10">
      <c r="J70" s="1"/>
    </row>
    <row r="71" spans="10:10">
      <c r="J71" s="1"/>
    </row>
    <row r="72" spans="10:10">
      <c r="J72" s="1"/>
    </row>
    <row r="73" spans="10:10">
      <c r="J73" s="1"/>
    </row>
    <row r="74" spans="10:10">
      <c r="J74" s="1"/>
    </row>
  </sheetData>
  <phoneticPr fontId="3" type="noConversion"/>
  <hyperlinks>
    <hyperlink ref="B10" r:id="rId1" display="http://finance.yahoo.com/q?s=IBM141220C00140000" xr:uid="{00000000-0004-0000-0000-000000000000}"/>
    <hyperlink ref="B11" r:id="rId2" display="http://finance.yahoo.com/q?s=IBM141220C00145000" xr:uid="{00000000-0004-0000-0000-000001000000}"/>
    <hyperlink ref="B12" r:id="rId3" display="http://finance.yahoo.com/q?s=IBM141220C00150000" xr:uid="{00000000-0004-0000-0000-000002000000}"/>
    <hyperlink ref="B13" r:id="rId4" display="http://finance.yahoo.com/q?s=IBM141220C00152500" xr:uid="{00000000-0004-0000-0000-000003000000}"/>
    <hyperlink ref="B14" r:id="rId5" display="http://finance.yahoo.com/q?s=IBM141220C00155000" xr:uid="{00000000-0004-0000-0000-000004000000}"/>
    <hyperlink ref="B15" r:id="rId6" display="http://finance.yahoo.com/q?s=IBM141220C00157500" xr:uid="{00000000-0004-0000-0000-000005000000}"/>
    <hyperlink ref="B16" r:id="rId7" display="http://finance.yahoo.com/q?s=IBM141220C00160000" xr:uid="{00000000-0004-0000-0000-000006000000}"/>
    <hyperlink ref="B17" r:id="rId8" display="http://finance.yahoo.com/q?s=IBM141220C00162500" xr:uid="{00000000-0004-0000-0000-000007000000}"/>
    <hyperlink ref="B18" r:id="rId9" display="http://finance.yahoo.com/q?s=IBM141220C00165000" xr:uid="{00000000-0004-0000-0000-000008000000}"/>
    <hyperlink ref="B19" r:id="rId10" display="http://finance.yahoo.com/q?s=IBM141220C00167500" xr:uid="{00000000-0004-0000-0000-000009000000}"/>
    <hyperlink ref="B20" r:id="rId11" display="http://finance.yahoo.com/q?s=IBM141220C00170000" xr:uid="{00000000-0004-0000-0000-00000A000000}"/>
    <hyperlink ref="B21" r:id="rId12" display="http://finance.yahoo.com/q?s=IBM141220C00172500" xr:uid="{00000000-0004-0000-0000-00000B000000}"/>
    <hyperlink ref="B22" r:id="rId13" display="http://finance.yahoo.com/q?s=IBM141220C00175000" xr:uid="{00000000-0004-0000-0000-00000C000000}"/>
    <hyperlink ref="B23" r:id="rId14" display="http://finance.yahoo.com/q?s=IBM141220C00180000" xr:uid="{00000000-0004-0000-0000-00000D000000}"/>
    <hyperlink ref="B24" r:id="rId15" display="http://finance.yahoo.com/q?s=IBM141220C00185000" xr:uid="{00000000-0004-0000-0000-00000E000000}"/>
    <hyperlink ref="B25" r:id="rId16" display="http://finance.yahoo.com/q?s=IBM141220C00190000" xr:uid="{00000000-0004-0000-0000-00000F000000}"/>
    <hyperlink ref="B26" r:id="rId17" display="http://finance.yahoo.com/q?s=IBM141220C00195000" xr:uid="{00000000-0004-0000-0000-000010000000}"/>
    <hyperlink ref="B27" r:id="rId18" display="http://finance.yahoo.com/q?s=IBM141220C00200000" xr:uid="{00000000-0004-0000-0000-000011000000}"/>
    <hyperlink ref="B28" r:id="rId19" display="http://finance.yahoo.com/q?s=IBM141220C00205000" xr:uid="{00000000-0004-0000-0000-000012000000}"/>
    <hyperlink ref="B29" r:id="rId20" display="http://finance.yahoo.com/q?s=IBM141220C00210000" xr:uid="{00000000-0004-0000-0000-000013000000}"/>
    <hyperlink ref="B30" r:id="rId21" display="http://finance.yahoo.com/q?s=IBM141220C00215000" xr:uid="{00000000-0004-0000-0000-000014000000}"/>
    <hyperlink ref="B31" r:id="rId22" display="http://finance.yahoo.com/q?s=IBM141220C00220000" xr:uid="{00000000-0004-0000-0000-000015000000}"/>
    <hyperlink ref="B32" r:id="rId23" display="http://finance.yahoo.com/q?s=IBM141220C00225000" xr:uid="{00000000-0004-0000-0000-000016000000}"/>
    <hyperlink ref="B33" r:id="rId24" display="http://finance.yahoo.com/q?s=IBM141220C00230000" xr:uid="{00000000-0004-0000-0000-000017000000}"/>
    <hyperlink ref="B34" r:id="rId25" display="http://finance.yahoo.com/q?s=IBM141220C00235000" xr:uid="{00000000-0004-0000-0000-000018000000}"/>
    <hyperlink ref="B35" r:id="rId26" display="http://finance.yahoo.com/q?s=IBM141220C00240000" xr:uid="{00000000-0004-0000-0000-000019000000}"/>
    <hyperlink ref="B36" r:id="rId27" display="http://finance.yahoo.com/q?s=IBM141220C00245000" xr:uid="{00000000-0004-0000-0000-00001A000000}"/>
    <hyperlink ref="B37" r:id="rId28" display="http://finance.yahoo.com/q?s=IBM141220C00250000" xr:uid="{00000000-0004-0000-0000-00001B000000}"/>
    <hyperlink ref="B38" r:id="rId29" display="http://finance.yahoo.com/q?s=IBM141220C00260000" xr:uid="{00000000-0004-0000-0000-00001C000000}"/>
    <hyperlink ref="A38" r:id="rId30" display="http://finance.yahoo.com/q/op?s=IBM&amp;strike=260.00" xr:uid="{00000000-0004-0000-0000-00001D000000}"/>
    <hyperlink ref="A37" r:id="rId31" display="http://finance.yahoo.com/q/op?s=IBM&amp;strike=250.00" xr:uid="{00000000-0004-0000-0000-00001E000000}"/>
    <hyperlink ref="A36" r:id="rId32" display="http://finance.yahoo.com/q/op?s=IBM&amp;strike=245.00" xr:uid="{00000000-0004-0000-0000-00001F000000}"/>
    <hyperlink ref="A35" r:id="rId33" display="http://finance.yahoo.com/q/op?s=IBM&amp;strike=240.00" xr:uid="{00000000-0004-0000-0000-000020000000}"/>
    <hyperlink ref="A34" r:id="rId34" display="http://finance.yahoo.com/q/op?s=IBM&amp;strike=235.00" xr:uid="{00000000-0004-0000-0000-000021000000}"/>
    <hyperlink ref="A33" r:id="rId35" display="http://finance.yahoo.com/q/op?s=IBM&amp;strike=230.00" xr:uid="{00000000-0004-0000-0000-000022000000}"/>
    <hyperlink ref="A32" r:id="rId36" display="http://finance.yahoo.com/q/op?s=IBM&amp;strike=225.00" xr:uid="{00000000-0004-0000-0000-000023000000}"/>
    <hyperlink ref="A31" r:id="rId37" display="http://finance.yahoo.com/q/op?s=IBM&amp;strike=220.00" xr:uid="{00000000-0004-0000-0000-000024000000}"/>
    <hyperlink ref="A30" r:id="rId38" display="http://finance.yahoo.com/q/op?s=IBM&amp;strike=215.00" xr:uid="{00000000-0004-0000-0000-000025000000}"/>
    <hyperlink ref="A29" r:id="rId39" display="http://finance.yahoo.com/q/op?s=IBM&amp;strike=210.00" xr:uid="{00000000-0004-0000-0000-000026000000}"/>
    <hyperlink ref="A28" r:id="rId40" display="http://finance.yahoo.com/q/op?s=IBM&amp;strike=205.00" xr:uid="{00000000-0004-0000-0000-000027000000}"/>
    <hyperlink ref="A27" r:id="rId41" display="http://finance.yahoo.com/q/op?s=IBM&amp;strike=200.00" xr:uid="{00000000-0004-0000-0000-000028000000}"/>
    <hyperlink ref="A26" r:id="rId42" display="http://finance.yahoo.com/q/op?s=IBM&amp;strike=195.00" xr:uid="{00000000-0004-0000-0000-000029000000}"/>
    <hyperlink ref="A25" r:id="rId43" display="http://finance.yahoo.com/q/op?s=IBM&amp;strike=190.00" xr:uid="{00000000-0004-0000-0000-00002A000000}"/>
    <hyperlink ref="A24" r:id="rId44" display="http://finance.yahoo.com/q/op?s=IBM&amp;strike=185.00" xr:uid="{00000000-0004-0000-0000-00002B000000}"/>
    <hyperlink ref="A23" r:id="rId45" display="http://finance.yahoo.com/q/op?s=IBM&amp;strike=180.00" xr:uid="{00000000-0004-0000-0000-00002C000000}"/>
    <hyperlink ref="A22" r:id="rId46" display="http://finance.yahoo.com/q/op?s=IBM&amp;strike=175.00" xr:uid="{00000000-0004-0000-0000-00002D000000}"/>
    <hyperlink ref="A21" r:id="rId47" display="http://finance.yahoo.com/q/op?s=IBM&amp;strike=172.50" xr:uid="{00000000-0004-0000-0000-00002E000000}"/>
    <hyperlink ref="A20" r:id="rId48" display="http://finance.yahoo.com/q/op?s=IBM&amp;strike=170.00" xr:uid="{00000000-0004-0000-0000-00002F000000}"/>
    <hyperlink ref="A19" r:id="rId49" display="http://finance.yahoo.com/q/op?s=IBM&amp;strike=167.50" xr:uid="{00000000-0004-0000-0000-000030000000}"/>
    <hyperlink ref="A18" r:id="rId50" display="http://finance.yahoo.com/q/op?s=IBM&amp;strike=165.00" xr:uid="{00000000-0004-0000-0000-000031000000}"/>
    <hyperlink ref="A17" r:id="rId51" display="http://finance.yahoo.com/q/op?s=IBM&amp;strike=162.50" xr:uid="{00000000-0004-0000-0000-000032000000}"/>
    <hyperlink ref="A16" r:id="rId52" display="http://finance.yahoo.com/q/op?s=IBM&amp;strike=160.00" xr:uid="{00000000-0004-0000-0000-000033000000}"/>
    <hyperlink ref="A15" r:id="rId53" display="http://finance.yahoo.com/q/op?s=IBM&amp;strike=157.50" xr:uid="{00000000-0004-0000-0000-000034000000}"/>
    <hyperlink ref="A14" r:id="rId54" display="http://finance.yahoo.com/q/op?s=IBM&amp;strike=155.00" xr:uid="{00000000-0004-0000-0000-000035000000}"/>
    <hyperlink ref="A13" r:id="rId55" display="http://finance.yahoo.com/q/op?s=IBM&amp;strike=152.50" xr:uid="{00000000-0004-0000-0000-000036000000}"/>
    <hyperlink ref="A12" r:id="rId56" display="http://finance.yahoo.com/q/op?s=IBM&amp;strike=150.00" xr:uid="{00000000-0004-0000-0000-000037000000}"/>
    <hyperlink ref="A11" r:id="rId57" display="http://finance.yahoo.com/q/op?s=IBM&amp;strike=145.00" xr:uid="{00000000-0004-0000-0000-000038000000}"/>
    <hyperlink ref="A10" r:id="rId58" display="http://finance.yahoo.com/q/op?s=IBM&amp;strike=140.00" xr:uid="{00000000-0004-0000-0000-000039000000}"/>
  </hyperlinks>
  <pageMargins left="0.7" right="0.7" top="0.75" bottom="0.75" header="0.3" footer="0.3"/>
  <drawing r:id="rId5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91C5-C6F7-42A2-AF28-D943968B8E03}">
  <sheetPr codeName="Sheet2"/>
  <dimension ref="A1:J41"/>
  <sheetViews>
    <sheetView topLeftCell="A25" workbookViewId="0">
      <selection activeCell="H41" sqref="H41"/>
    </sheetView>
  </sheetViews>
  <sheetFormatPr defaultRowHeight="15.6"/>
  <cols>
    <col min="1" max="1" width="8.88671875" style="8"/>
    <col min="2" max="2" width="11.109375" style="8" customWidth="1"/>
    <col min="3" max="5" width="9" style="8" bestFit="1" customWidth="1"/>
    <col min="6" max="8" width="9.5546875" style="8" bestFit="1" customWidth="1"/>
    <col min="9" max="9" width="12.33203125" style="8" bestFit="1" customWidth="1"/>
    <col min="10" max="10" width="16.88671875" style="8" bestFit="1" customWidth="1"/>
    <col min="11" max="16384" width="8.88671875" style="8"/>
  </cols>
  <sheetData>
    <row r="1" spans="1:10">
      <c r="B1" s="8" t="s">
        <v>49</v>
      </c>
    </row>
    <row r="2" spans="1:10">
      <c r="B2" s="8" t="s">
        <v>50</v>
      </c>
    </row>
    <row r="6" spans="1:10">
      <c r="B6" s="7" t="s">
        <v>51</v>
      </c>
      <c r="C6" s="8">
        <v>260</v>
      </c>
    </row>
    <row r="7" spans="1:10">
      <c r="B7" s="7" t="s">
        <v>52</v>
      </c>
      <c r="C7" s="10">
        <v>1.3999999999999999E-4</v>
      </c>
    </row>
    <row r="8" spans="1:10">
      <c r="B8" s="7" t="s">
        <v>53</v>
      </c>
      <c r="C8" s="9">
        <v>2.1917808219178082E-2</v>
      </c>
    </row>
    <row r="9" spans="1:10">
      <c r="B9" s="7" t="s">
        <v>54</v>
      </c>
      <c r="C9" s="11">
        <v>1.2496012877451914</v>
      </c>
      <c r="D9" s="12"/>
      <c r="E9" s="12">
        <v>0.03</v>
      </c>
    </row>
    <row r="11" spans="1:10">
      <c r="C11" s="8" t="s">
        <v>55</v>
      </c>
      <c r="H11" s="8" t="s">
        <v>56</v>
      </c>
    </row>
    <row r="12" spans="1:10">
      <c r="A12" s="8" t="s">
        <v>65</v>
      </c>
      <c r="B12" s="7" t="s">
        <v>57</v>
      </c>
      <c r="C12" s="8" t="s">
        <v>58</v>
      </c>
      <c r="D12" s="8" t="s">
        <v>59</v>
      </c>
      <c r="E12" s="8" t="s">
        <v>60</v>
      </c>
      <c r="F12" s="8" t="s">
        <v>61</v>
      </c>
      <c r="G12" s="8" t="s">
        <v>62</v>
      </c>
      <c r="H12" s="8" t="s">
        <v>63</v>
      </c>
      <c r="I12" s="8" t="s">
        <v>64</v>
      </c>
      <c r="J12" s="9" t="s">
        <v>18</v>
      </c>
    </row>
    <row r="13" spans="1:10">
      <c r="A13" s="8">
        <v>140</v>
      </c>
      <c r="B13" s="12">
        <v>155.38</v>
      </c>
      <c r="C13" s="8">
        <f>MAX(B13-$C$6,0)</f>
        <v>0</v>
      </c>
      <c r="D13" s="8">
        <f>(LN(B13/$C$6)+$C$7*$C$8)/($C$9*$C$8^0.5)+0.5*$C$9*$C$8^0.5</f>
        <v>-2.6902401020247591</v>
      </c>
      <c r="E13" s="8">
        <f>D13-$C$9*$C$8^0.5</f>
        <v>-2.8752393765636959</v>
      </c>
      <c r="F13" s="13">
        <f>NORMDIST(D13,0,1,TRUE)</f>
        <v>3.570031346672733E-3</v>
      </c>
      <c r="G13" s="13">
        <f>NORMDIST(E13,0,1,TRUE)</f>
        <v>2.0186064568012982E-3</v>
      </c>
      <c r="H13" s="14">
        <f>B13*F13-$C$6*EXP(-$C$7*$C$8)*G13</f>
        <v>2.9875402336023371E-2</v>
      </c>
      <c r="I13" s="12">
        <v>16.399999999999999</v>
      </c>
      <c r="J13" s="16">
        <v>0.6529228672629741</v>
      </c>
    </row>
    <row r="14" spans="1:10">
      <c r="A14" s="8">
        <v>145</v>
      </c>
      <c r="B14" s="12">
        <v>155.38</v>
      </c>
      <c r="C14" s="8">
        <f t="shared" ref="C14:C41" si="0">MAX(B14-$C$6,0)</f>
        <v>0</v>
      </c>
      <c r="D14" s="8">
        <f>(LN(B14/$C$6)+$C$7*$C$8)/($C$9*$C$8^0.5)+0.5*$C$9*$C$8^0.5</f>
        <v>-2.6902401020247591</v>
      </c>
      <c r="E14" s="8">
        <f t="shared" ref="E14:E41" si="1">D14-$C$9*$C$8^0.5</f>
        <v>-2.8752393765636959</v>
      </c>
      <c r="F14" s="13">
        <f t="shared" ref="F14:F41" si="2">NORMDIST(D14,0,1,TRUE)</f>
        <v>3.570031346672733E-3</v>
      </c>
      <c r="G14" s="13">
        <f t="shared" ref="G14:G41" si="3">NORMDIST(E14,0,1,TRUE)</f>
        <v>2.0186064568012982E-3</v>
      </c>
      <c r="H14" s="14">
        <f t="shared" ref="H14:H41" si="4">B14*F14-$C$6*EXP(-$C$7*$C$8)*G14</f>
        <v>2.9875402336023371E-2</v>
      </c>
      <c r="I14" s="12">
        <v>11.35</v>
      </c>
      <c r="J14" s="15">
        <v>0.48623426728739888</v>
      </c>
    </row>
    <row r="15" spans="1:10">
      <c r="A15" s="8">
        <v>150</v>
      </c>
      <c r="B15" s="12">
        <v>155.38</v>
      </c>
      <c r="C15" s="8">
        <f t="shared" si="0"/>
        <v>0</v>
      </c>
      <c r="D15" s="8">
        <f>(LN(B15/$C$6)+$C$7*$C$8)/($C$9*$C$8^0.5)+0.5*$C$9*$C$8^0.5</f>
        <v>-2.6902401020247591</v>
      </c>
      <c r="E15" s="8">
        <f t="shared" si="1"/>
        <v>-2.8752393765636959</v>
      </c>
      <c r="F15" s="13">
        <f t="shared" si="2"/>
        <v>3.570031346672733E-3</v>
      </c>
      <c r="G15" s="13">
        <f t="shared" si="3"/>
        <v>2.0186064568012982E-3</v>
      </c>
      <c r="H15" s="14">
        <f t="shared" si="4"/>
        <v>2.9875402336023371E-2</v>
      </c>
      <c r="I15" s="12">
        <v>6.6</v>
      </c>
      <c r="J15" s="15">
        <v>0.35722406752902958</v>
      </c>
    </row>
    <row r="16" spans="1:10">
      <c r="A16" s="8">
        <v>152.5</v>
      </c>
      <c r="B16" s="12">
        <v>155.38</v>
      </c>
      <c r="C16" s="8">
        <f t="shared" si="0"/>
        <v>0</v>
      </c>
      <c r="D16" s="8">
        <f>(LN(B16/$C$6)+$C$7*$C$8)/($C$9*$C$8^0.5)+0.5*$C$9*$C$8^0.5</f>
        <v>-2.6902401020247591</v>
      </c>
      <c r="E16" s="8">
        <f t="shared" si="1"/>
        <v>-2.8752393765636959</v>
      </c>
      <c r="F16" s="13">
        <f t="shared" si="2"/>
        <v>3.570031346672733E-3</v>
      </c>
      <c r="G16" s="13">
        <f t="shared" si="3"/>
        <v>2.0186064568012982E-3</v>
      </c>
      <c r="H16" s="14">
        <f t="shared" si="4"/>
        <v>2.9875402336023371E-2</v>
      </c>
      <c r="I16" s="12">
        <v>4.4000000000000004</v>
      </c>
      <c r="J16" s="15">
        <v>0.29926705467224568</v>
      </c>
    </row>
    <row r="17" spans="1:10">
      <c r="A17" s="8">
        <v>155</v>
      </c>
      <c r="B17" s="12">
        <v>155.38</v>
      </c>
      <c r="C17" s="8">
        <f t="shared" si="0"/>
        <v>0</v>
      </c>
      <c r="D17" s="8">
        <f>(LN(B17/$C$6)+$C$7*$C$8)/($C$9*$C$8^0.5)+0.5*$C$9*$C$8^0.5</f>
        <v>-2.6902401020247591</v>
      </c>
      <c r="E17" s="8">
        <f t="shared" si="1"/>
        <v>-2.8752393765636959</v>
      </c>
      <c r="F17" s="13">
        <f t="shared" si="2"/>
        <v>3.570031346672733E-3</v>
      </c>
      <c r="G17" s="13">
        <f t="shared" si="3"/>
        <v>2.0186064568012982E-3</v>
      </c>
      <c r="H17" s="14">
        <f t="shared" si="4"/>
        <v>2.9875402336023371E-2</v>
      </c>
      <c r="I17" s="12">
        <v>2.5499999999999998</v>
      </c>
      <c r="J17" s="15">
        <v>0.25693648272969688</v>
      </c>
    </row>
    <row r="18" spans="1:10">
      <c r="A18" s="8">
        <v>157.5</v>
      </c>
      <c r="B18" s="12">
        <v>155.38</v>
      </c>
      <c r="C18" s="8">
        <f t="shared" si="0"/>
        <v>0</v>
      </c>
      <c r="D18" s="8">
        <f t="shared" ref="D18:D41" si="5">(LN(B18/$C$6)+$C$7*$C$8)/($C$9*$C$8^0.5)+0.5*$C$9*$C$8^0.5</f>
        <v>-2.6902401020247591</v>
      </c>
      <c r="E18" s="8">
        <f t="shared" si="1"/>
        <v>-2.8752393765636959</v>
      </c>
      <c r="F18" s="13">
        <f t="shared" si="2"/>
        <v>3.570031346672733E-3</v>
      </c>
      <c r="G18" s="13">
        <f t="shared" si="3"/>
        <v>2.0186064568012982E-3</v>
      </c>
      <c r="H18" s="14">
        <f t="shared" si="4"/>
        <v>2.9875402336023371E-2</v>
      </c>
      <c r="I18" s="12">
        <v>1.33</v>
      </c>
      <c r="J18" s="15">
        <v>0.241575914995418</v>
      </c>
    </row>
    <row r="19" spans="1:10">
      <c r="A19" s="8">
        <v>160</v>
      </c>
      <c r="B19" s="12">
        <v>155.38</v>
      </c>
      <c r="C19" s="8">
        <f t="shared" si="0"/>
        <v>0</v>
      </c>
      <c r="D19" s="8">
        <f t="shared" si="5"/>
        <v>-2.6902401020247591</v>
      </c>
      <c r="E19" s="8">
        <f t="shared" si="1"/>
        <v>-2.8752393765636959</v>
      </c>
      <c r="F19" s="13">
        <f t="shared" si="2"/>
        <v>3.570031346672733E-3</v>
      </c>
      <c r="G19" s="13">
        <f t="shared" si="3"/>
        <v>2.0186064568012982E-3</v>
      </c>
      <c r="H19" s="14">
        <f t="shared" si="4"/>
        <v>2.9875402336023371E-2</v>
      </c>
      <c r="I19" s="12">
        <v>0.62</v>
      </c>
      <c r="J19" s="15">
        <v>0.23627035061065177</v>
      </c>
    </row>
    <row r="20" spans="1:10">
      <c r="A20" s="8">
        <v>162.5</v>
      </c>
      <c r="B20" s="12">
        <v>155.38</v>
      </c>
      <c r="C20" s="8">
        <f t="shared" si="0"/>
        <v>0</v>
      </c>
      <c r="D20" s="8">
        <f t="shared" si="5"/>
        <v>-2.6902401020247591</v>
      </c>
      <c r="E20" s="8">
        <f t="shared" si="1"/>
        <v>-2.8752393765636959</v>
      </c>
      <c r="F20" s="13">
        <f t="shared" si="2"/>
        <v>3.570031346672733E-3</v>
      </c>
      <c r="G20" s="13">
        <f t="shared" si="3"/>
        <v>2.0186064568012982E-3</v>
      </c>
      <c r="H20" s="14">
        <f t="shared" si="4"/>
        <v>2.9875402336023371E-2</v>
      </c>
      <c r="I20" s="12">
        <v>0.33</v>
      </c>
      <c r="J20" s="15">
        <v>0.25154282332848471</v>
      </c>
    </row>
    <row r="21" spans="1:10">
      <c r="A21" s="8">
        <v>165</v>
      </c>
      <c r="B21" s="12">
        <v>155.38</v>
      </c>
      <c r="C21" s="8">
        <f t="shared" si="0"/>
        <v>0</v>
      </c>
      <c r="D21" s="8">
        <f t="shared" si="5"/>
        <v>-2.6902401020247591</v>
      </c>
      <c r="E21" s="8">
        <f t="shared" si="1"/>
        <v>-2.8752393765636959</v>
      </c>
      <c r="F21" s="13">
        <f t="shared" si="2"/>
        <v>3.570031346672733E-3</v>
      </c>
      <c r="G21" s="13">
        <f t="shared" si="3"/>
        <v>2.0186064568012982E-3</v>
      </c>
      <c r="H21" s="14">
        <f t="shared" si="4"/>
        <v>2.9875402336023371E-2</v>
      </c>
      <c r="I21" s="12">
        <v>0.15</v>
      </c>
      <c r="J21" s="15">
        <v>0.25753462478947675</v>
      </c>
    </row>
    <row r="22" spans="1:10">
      <c r="A22" s="8">
        <v>167.5</v>
      </c>
      <c r="B22" s="12">
        <v>155.38</v>
      </c>
      <c r="C22" s="8">
        <f t="shared" si="0"/>
        <v>0</v>
      </c>
      <c r="D22" s="8">
        <f t="shared" si="5"/>
        <v>-2.6902401020247591</v>
      </c>
      <c r="E22" s="8">
        <f t="shared" si="1"/>
        <v>-2.8752393765636959</v>
      </c>
      <c r="F22" s="13">
        <f t="shared" si="2"/>
        <v>3.570031346672733E-3</v>
      </c>
      <c r="G22" s="13">
        <f t="shared" si="3"/>
        <v>2.0186064568012982E-3</v>
      </c>
      <c r="H22" s="14">
        <f t="shared" si="4"/>
        <v>2.9875402336023371E-2</v>
      </c>
      <c r="I22" s="12">
        <v>0.08</v>
      </c>
      <c r="J22" s="15">
        <v>0.27272357135854608</v>
      </c>
    </row>
    <row r="23" spans="1:10">
      <c r="A23" s="8">
        <v>170</v>
      </c>
      <c r="B23" s="12">
        <v>155.38</v>
      </c>
      <c r="C23" s="8">
        <f t="shared" si="0"/>
        <v>0</v>
      </c>
      <c r="D23" s="8">
        <f t="shared" si="5"/>
        <v>-2.6902401020247591</v>
      </c>
      <c r="E23" s="8">
        <f t="shared" si="1"/>
        <v>-2.8752393765636959</v>
      </c>
      <c r="F23" s="13">
        <f t="shared" si="2"/>
        <v>3.570031346672733E-3</v>
      </c>
      <c r="G23" s="13">
        <f t="shared" si="3"/>
        <v>2.0186064568012982E-3</v>
      </c>
      <c r="H23" s="14">
        <f t="shared" si="4"/>
        <v>2.9875402336023371E-2</v>
      </c>
      <c r="I23" s="12">
        <v>0.05</v>
      </c>
      <c r="J23" s="15">
        <v>0.29326723194354154</v>
      </c>
    </row>
    <row r="24" spans="1:10">
      <c r="A24" s="8">
        <v>172.5</v>
      </c>
      <c r="B24" s="12">
        <v>155.38</v>
      </c>
      <c r="C24" s="8">
        <f t="shared" si="0"/>
        <v>0</v>
      </c>
      <c r="D24" s="8">
        <f t="shared" si="5"/>
        <v>-2.6902401020247591</v>
      </c>
      <c r="E24" s="8">
        <f t="shared" si="1"/>
        <v>-2.8752393765636959</v>
      </c>
      <c r="F24" s="13">
        <f t="shared" si="2"/>
        <v>3.570031346672733E-3</v>
      </c>
      <c r="G24" s="13">
        <f t="shared" si="3"/>
        <v>2.0186064568012982E-3</v>
      </c>
      <c r="H24" s="14">
        <f t="shared" si="4"/>
        <v>2.9875402336023371E-2</v>
      </c>
      <c r="I24" s="12">
        <v>0.05</v>
      </c>
      <c r="J24" s="15">
        <v>0.33347192776296514</v>
      </c>
    </row>
    <row r="25" spans="1:10">
      <c r="A25" s="8">
        <v>175</v>
      </c>
      <c r="B25" s="12">
        <v>155.38</v>
      </c>
      <c r="C25" s="8">
        <f t="shared" si="0"/>
        <v>0</v>
      </c>
      <c r="D25" s="8">
        <f t="shared" si="5"/>
        <v>-2.6902401020247591</v>
      </c>
      <c r="E25" s="8">
        <f t="shared" si="1"/>
        <v>-2.8752393765636959</v>
      </c>
      <c r="F25" s="13">
        <f t="shared" si="2"/>
        <v>3.570031346672733E-3</v>
      </c>
      <c r="G25" s="13">
        <f t="shared" si="3"/>
        <v>2.0186064568012982E-3</v>
      </c>
      <c r="H25" s="14">
        <f t="shared" si="4"/>
        <v>2.9875402336023371E-2</v>
      </c>
      <c r="I25" s="12">
        <v>0.01</v>
      </c>
      <c r="J25" s="15">
        <v>0.3069265707045758</v>
      </c>
    </row>
    <row r="26" spans="1:10">
      <c r="A26" s="8">
        <v>180</v>
      </c>
      <c r="B26" s="12">
        <v>155.38</v>
      </c>
      <c r="C26" s="8">
        <f t="shared" si="0"/>
        <v>0</v>
      </c>
      <c r="D26" s="8">
        <f t="shared" si="5"/>
        <v>-2.6902401020247591</v>
      </c>
      <c r="E26" s="8">
        <f t="shared" si="1"/>
        <v>-2.8752393765636959</v>
      </c>
      <c r="F26" s="13">
        <f t="shared" si="2"/>
        <v>3.570031346672733E-3</v>
      </c>
      <c r="G26" s="13">
        <f t="shared" si="3"/>
        <v>2.0186064568012982E-3</v>
      </c>
      <c r="H26" s="14">
        <f t="shared" si="4"/>
        <v>2.9875402336023371E-2</v>
      </c>
      <c r="I26" s="12">
        <v>0.02</v>
      </c>
      <c r="J26" s="15">
        <v>0.39797655488517802</v>
      </c>
    </row>
    <row r="27" spans="1:10">
      <c r="A27" s="8">
        <v>185</v>
      </c>
      <c r="B27" s="12">
        <v>155.38</v>
      </c>
      <c r="C27" s="8">
        <f t="shared" si="0"/>
        <v>0</v>
      </c>
      <c r="D27" s="8">
        <f t="shared" si="5"/>
        <v>-2.6902401020247591</v>
      </c>
      <c r="E27" s="8">
        <f t="shared" si="1"/>
        <v>-2.8752393765636959</v>
      </c>
      <c r="F27" s="13">
        <f t="shared" si="2"/>
        <v>3.570031346672733E-3</v>
      </c>
      <c r="G27" s="13">
        <f t="shared" si="3"/>
        <v>2.0186064568012982E-3</v>
      </c>
      <c r="H27" s="14">
        <f t="shared" si="4"/>
        <v>2.9875402336023371E-2</v>
      </c>
      <c r="I27" s="12">
        <v>0.03</v>
      </c>
      <c r="J27" s="15">
        <v>0.48263127970757497</v>
      </c>
    </row>
    <row r="28" spans="1:10">
      <c r="A28" s="8">
        <v>190</v>
      </c>
      <c r="B28" s="12">
        <v>155.38</v>
      </c>
      <c r="C28" s="8">
        <f t="shared" si="0"/>
        <v>0</v>
      </c>
      <c r="D28" s="8">
        <f t="shared" si="5"/>
        <v>-2.6902401020247591</v>
      </c>
      <c r="E28" s="8">
        <f t="shared" si="1"/>
        <v>-2.8752393765636959</v>
      </c>
      <c r="F28" s="13">
        <f t="shared" si="2"/>
        <v>3.570031346672733E-3</v>
      </c>
      <c r="G28" s="13">
        <f t="shared" si="3"/>
        <v>2.0186064568012982E-3</v>
      </c>
      <c r="H28" s="14">
        <f t="shared" si="4"/>
        <v>2.9875402336023371E-2</v>
      </c>
      <c r="I28" s="12">
        <v>0.01</v>
      </c>
      <c r="J28" s="15">
        <v>0.48745759250465071</v>
      </c>
    </row>
    <row r="29" spans="1:10">
      <c r="A29" s="8">
        <v>195</v>
      </c>
      <c r="B29" s="12">
        <v>155.38</v>
      </c>
      <c r="C29" s="8">
        <f t="shared" si="0"/>
        <v>0</v>
      </c>
      <c r="D29" s="8">
        <f t="shared" si="5"/>
        <v>-2.6902401020247591</v>
      </c>
      <c r="E29" s="8">
        <f t="shared" si="1"/>
        <v>-2.8752393765636959</v>
      </c>
      <c r="F29" s="13">
        <f t="shared" si="2"/>
        <v>3.570031346672733E-3</v>
      </c>
      <c r="G29" s="13">
        <f t="shared" si="3"/>
        <v>2.0186064568012982E-3</v>
      </c>
      <c r="H29" s="14">
        <f t="shared" si="4"/>
        <v>2.9875402336023371E-2</v>
      </c>
      <c r="I29" s="12">
        <v>0.03</v>
      </c>
      <c r="J29" s="15">
        <v>0.60828752064539404</v>
      </c>
    </row>
    <row r="30" spans="1:10">
      <c r="A30" s="8">
        <v>200</v>
      </c>
      <c r="B30" s="12">
        <v>155.38</v>
      </c>
      <c r="C30" s="8">
        <f t="shared" si="0"/>
        <v>0</v>
      </c>
      <c r="D30" s="8">
        <f t="shared" si="5"/>
        <v>-2.6902401020247591</v>
      </c>
      <c r="E30" s="8">
        <f t="shared" si="1"/>
        <v>-2.8752393765636959</v>
      </c>
      <c r="F30" s="13">
        <f t="shared" si="2"/>
        <v>3.570031346672733E-3</v>
      </c>
      <c r="G30" s="13">
        <f t="shared" si="3"/>
        <v>2.0186064568012982E-3</v>
      </c>
      <c r="H30" s="14">
        <f t="shared" si="4"/>
        <v>2.9875402336023371E-2</v>
      </c>
      <c r="I30" s="12">
        <v>0.03</v>
      </c>
      <c r="J30" s="15">
        <v>0.6670285136643721</v>
      </c>
    </row>
    <row r="31" spans="1:10">
      <c r="A31" s="8">
        <v>205</v>
      </c>
      <c r="B31" s="12">
        <v>155.38</v>
      </c>
      <c r="C31" s="8">
        <f t="shared" si="0"/>
        <v>0</v>
      </c>
      <c r="D31" s="8">
        <f t="shared" si="5"/>
        <v>-2.6902401020247591</v>
      </c>
      <c r="E31" s="8">
        <f t="shared" si="1"/>
        <v>-2.8752393765636959</v>
      </c>
      <c r="F31" s="13">
        <f t="shared" si="2"/>
        <v>3.570031346672733E-3</v>
      </c>
      <c r="G31" s="13">
        <f t="shared" si="3"/>
        <v>2.0186064568012982E-3</v>
      </c>
      <c r="H31" s="14">
        <f t="shared" si="4"/>
        <v>2.9875402336023371E-2</v>
      </c>
      <c r="I31" s="12">
        <v>0.03</v>
      </c>
      <c r="J31" s="15">
        <v>0.72565700194623606</v>
      </c>
    </row>
    <row r="32" spans="1:10">
      <c r="A32" s="8">
        <v>210</v>
      </c>
      <c r="B32" s="12">
        <v>155.38</v>
      </c>
      <c r="C32" s="8">
        <f t="shared" si="0"/>
        <v>0</v>
      </c>
      <c r="D32" s="8">
        <f t="shared" si="5"/>
        <v>-2.6902401020247591</v>
      </c>
      <c r="E32" s="8">
        <f t="shared" si="1"/>
        <v>-2.8752393765636959</v>
      </c>
      <c r="F32" s="13">
        <f t="shared" si="2"/>
        <v>3.570031346672733E-3</v>
      </c>
      <c r="G32" s="13">
        <f t="shared" si="3"/>
        <v>2.0186064568012982E-3</v>
      </c>
      <c r="H32" s="14">
        <f t="shared" si="4"/>
        <v>2.9875402336023371E-2</v>
      </c>
      <c r="I32" s="12">
        <v>0.02</v>
      </c>
      <c r="J32" s="15">
        <v>0.75069211747318565</v>
      </c>
    </row>
    <row r="33" spans="1:10">
      <c r="A33" s="8">
        <v>215</v>
      </c>
      <c r="B33" s="12">
        <v>155.38</v>
      </c>
      <c r="C33" s="8">
        <f t="shared" si="0"/>
        <v>0</v>
      </c>
      <c r="D33" s="8">
        <f t="shared" si="5"/>
        <v>-2.6902401020247591</v>
      </c>
      <c r="E33" s="8">
        <f t="shared" si="1"/>
        <v>-2.8752393765636959</v>
      </c>
      <c r="F33" s="13">
        <f t="shared" si="2"/>
        <v>3.570031346672733E-3</v>
      </c>
      <c r="G33" s="13">
        <f t="shared" si="3"/>
        <v>2.0186064568012982E-3</v>
      </c>
      <c r="H33" s="14">
        <f t="shared" si="4"/>
        <v>2.9875402336023371E-2</v>
      </c>
      <c r="I33" s="12">
        <v>0.01</v>
      </c>
      <c r="J33" s="15">
        <v>0.75069211747318565</v>
      </c>
    </row>
    <row r="34" spans="1:10">
      <c r="A34" s="8">
        <v>220</v>
      </c>
      <c r="B34" s="12">
        <v>155.38</v>
      </c>
      <c r="C34" s="8">
        <f t="shared" si="0"/>
        <v>0</v>
      </c>
      <c r="D34" s="8">
        <f t="shared" si="5"/>
        <v>-2.6902401020247591</v>
      </c>
      <c r="E34" s="8">
        <f t="shared" si="1"/>
        <v>-2.8752393765636959</v>
      </c>
      <c r="F34" s="13">
        <f t="shared" si="2"/>
        <v>3.570031346672733E-3</v>
      </c>
      <c r="G34" s="13">
        <f t="shared" si="3"/>
        <v>2.0186064568012982E-3</v>
      </c>
      <c r="H34" s="14">
        <f t="shared" si="4"/>
        <v>2.9875402336023371E-2</v>
      </c>
      <c r="I34" s="12">
        <v>0.01</v>
      </c>
      <c r="J34" s="15">
        <v>0.79393368790619667</v>
      </c>
    </row>
    <row r="35" spans="1:10">
      <c r="A35" s="8">
        <v>225</v>
      </c>
      <c r="B35" s="12">
        <v>155.38</v>
      </c>
      <c r="C35" s="8">
        <f t="shared" si="0"/>
        <v>0</v>
      </c>
      <c r="D35" s="8">
        <f t="shared" si="5"/>
        <v>-2.6902401020247591</v>
      </c>
      <c r="E35" s="8">
        <f t="shared" si="1"/>
        <v>-2.8752393765636959</v>
      </c>
      <c r="F35" s="13">
        <f t="shared" si="2"/>
        <v>3.570031346672733E-3</v>
      </c>
      <c r="G35" s="13">
        <f t="shared" si="3"/>
        <v>2.0186064568012982E-3</v>
      </c>
      <c r="H35" s="14">
        <f t="shared" si="4"/>
        <v>2.9875402336023371E-2</v>
      </c>
      <c r="I35" s="12">
        <v>0.01</v>
      </c>
      <c r="J35" s="15">
        <v>0.83965304976917432</v>
      </c>
    </row>
    <row r="36" spans="1:10">
      <c r="A36" s="8">
        <v>230</v>
      </c>
      <c r="B36" s="12">
        <v>155.38</v>
      </c>
      <c r="C36" s="8">
        <f t="shared" si="0"/>
        <v>0</v>
      </c>
      <c r="D36" s="8">
        <f t="shared" si="5"/>
        <v>-2.6902401020247591</v>
      </c>
      <c r="E36" s="8">
        <f t="shared" si="1"/>
        <v>-2.8752393765636959</v>
      </c>
      <c r="F36" s="13">
        <f t="shared" si="2"/>
        <v>3.570031346672733E-3</v>
      </c>
      <c r="G36" s="13">
        <f t="shared" si="3"/>
        <v>2.0186064568012982E-3</v>
      </c>
      <c r="H36" s="14">
        <f t="shared" si="4"/>
        <v>2.9875402336023371E-2</v>
      </c>
      <c r="I36" s="12">
        <v>0.03</v>
      </c>
      <c r="J36" s="15">
        <v>0.98322795856095579</v>
      </c>
    </row>
    <row r="37" spans="1:10">
      <c r="A37" s="8">
        <v>235</v>
      </c>
      <c r="B37" s="12">
        <v>155.38</v>
      </c>
      <c r="C37" s="8">
        <f t="shared" si="0"/>
        <v>0</v>
      </c>
      <c r="D37" s="8">
        <f t="shared" si="5"/>
        <v>-2.6902401020247591</v>
      </c>
      <c r="E37" s="8">
        <f t="shared" si="1"/>
        <v>-2.8752393765636959</v>
      </c>
      <c r="F37" s="13">
        <f t="shared" si="2"/>
        <v>3.570031346672733E-3</v>
      </c>
      <c r="G37" s="13">
        <f t="shared" si="3"/>
        <v>2.0186064568012982E-3</v>
      </c>
      <c r="H37" s="14">
        <f t="shared" si="4"/>
        <v>2.9875402336023371E-2</v>
      </c>
      <c r="I37" s="12">
        <v>0.03</v>
      </c>
      <c r="J37" s="15">
        <v>1.0304813602347751</v>
      </c>
    </row>
    <row r="38" spans="1:10">
      <c r="A38" s="8">
        <v>240</v>
      </c>
      <c r="B38" s="12">
        <v>155.38</v>
      </c>
      <c r="C38" s="8">
        <f t="shared" si="0"/>
        <v>0</v>
      </c>
      <c r="D38" s="8">
        <f t="shared" si="5"/>
        <v>-2.6902401020247591</v>
      </c>
      <c r="E38" s="8">
        <f t="shared" si="1"/>
        <v>-2.8752393765636959</v>
      </c>
      <c r="F38" s="13">
        <f t="shared" si="2"/>
        <v>3.570031346672733E-3</v>
      </c>
      <c r="G38" s="13">
        <f t="shared" si="3"/>
        <v>2.0186064568012982E-3</v>
      </c>
      <c r="H38" s="14">
        <f t="shared" si="4"/>
        <v>2.9875402336023371E-2</v>
      </c>
      <c r="I38" s="12">
        <v>0.03</v>
      </c>
      <c r="J38" s="15">
        <v>1.0766718546784135</v>
      </c>
    </row>
    <row r="39" spans="1:10">
      <c r="A39" s="8">
        <v>245</v>
      </c>
      <c r="B39" s="12">
        <v>155.38</v>
      </c>
      <c r="C39" s="8">
        <f t="shared" si="0"/>
        <v>0</v>
      </c>
      <c r="D39" s="8">
        <f t="shared" si="5"/>
        <v>-2.6902401020247591</v>
      </c>
      <c r="E39" s="8">
        <f t="shared" si="1"/>
        <v>-2.8752393765636959</v>
      </c>
      <c r="F39" s="13">
        <f t="shared" si="2"/>
        <v>3.570031346672733E-3</v>
      </c>
      <c r="G39" s="13">
        <f t="shared" si="3"/>
        <v>2.0186064568012982E-3</v>
      </c>
      <c r="H39" s="14">
        <f t="shared" si="4"/>
        <v>2.9875402336023371E-2</v>
      </c>
      <c r="I39" s="12">
        <v>0.03</v>
      </c>
      <c r="J39" s="15">
        <v>1.1216263480039057</v>
      </c>
    </row>
    <row r="40" spans="1:10">
      <c r="A40" s="8">
        <v>250</v>
      </c>
      <c r="B40" s="12">
        <v>155.38</v>
      </c>
      <c r="C40" s="8">
        <f t="shared" si="0"/>
        <v>0</v>
      </c>
      <c r="D40" s="8">
        <f t="shared" si="5"/>
        <v>-2.6902401020247591</v>
      </c>
      <c r="E40" s="8">
        <f t="shared" si="1"/>
        <v>-2.8752393765636959</v>
      </c>
      <c r="F40" s="13">
        <f t="shared" si="2"/>
        <v>3.570031346672733E-3</v>
      </c>
      <c r="G40" s="13">
        <f t="shared" si="3"/>
        <v>2.0186064568012982E-3</v>
      </c>
      <c r="H40" s="14">
        <f t="shared" si="4"/>
        <v>2.9875402336023371E-2</v>
      </c>
      <c r="I40" s="12">
        <v>0.03</v>
      </c>
      <c r="J40" s="15">
        <v>1.1654001381764871</v>
      </c>
    </row>
    <row r="41" spans="1:10">
      <c r="A41" s="8">
        <v>260</v>
      </c>
      <c r="B41" s="12">
        <v>155.38</v>
      </c>
      <c r="C41" s="8">
        <f t="shared" si="0"/>
        <v>0</v>
      </c>
      <c r="D41" s="8">
        <f t="shared" si="5"/>
        <v>-2.6902401020247591</v>
      </c>
      <c r="E41" s="8">
        <f t="shared" si="1"/>
        <v>-2.8752393765636959</v>
      </c>
      <c r="F41" s="13">
        <f t="shared" si="2"/>
        <v>3.570031346672733E-3</v>
      </c>
      <c r="G41" s="13">
        <f t="shared" si="3"/>
        <v>2.0186064568012982E-3</v>
      </c>
      <c r="H41" s="14">
        <f t="shared" si="4"/>
        <v>2.9875402336023371E-2</v>
      </c>
      <c r="I41" s="12">
        <v>0.03</v>
      </c>
      <c r="J41" s="15">
        <v>1.2496012877451914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5"/>
  <sheetViews>
    <sheetView tabSelected="1" workbookViewId="0">
      <selection activeCell="N23" sqref="N23"/>
    </sheetView>
  </sheetViews>
  <sheetFormatPr defaultRowHeight="16.2"/>
  <sheetData>
    <row r="1" spans="1:9">
      <c r="A1" s="7" t="s">
        <v>52</v>
      </c>
      <c r="B1" s="10">
        <v>1.3999999999999999E-4</v>
      </c>
    </row>
    <row r="2" spans="1:9">
      <c r="A2" s="7" t="s">
        <v>53</v>
      </c>
      <c r="B2" s="9">
        <v>2.1917808219178082E-2</v>
      </c>
    </row>
    <row r="3" spans="1:9">
      <c r="A3" s="7" t="s">
        <v>54</v>
      </c>
      <c r="B3" s="18">
        <v>1.2496012877451914</v>
      </c>
    </row>
    <row r="5" spans="1:9">
      <c r="A5" s="8"/>
      <c r="B5" s="8"/>
      <c r="C5" s="8"/>
      <c r="D5" s="8"/>
      <c r="E5" s="8"/>
      <c r="F5" s="8"/>
      <c r="G5" s="8" t="s">
        <v>56</v>
      </c>
      <c r="H5" s="8"/>
      <c r="I5" s="8"/>
    </row>
    <row r="6" spans="1:9">
      <c r="A6" s="8" t="s">
        <v>65</v>
      </c>
      <c r="B6" s="7" t="s">
        <v>57</v>
      </c>
      <c r="C6" s="8" t="s">
        <v>59</v>
      </c>
      <c r="D6" s="8" t="s">
        <v>60</v>
      </c>
      <c r="E6" s="8" t="s">
        <v>61</v>
      </c>
      <c r="F6" s="8" t="s">
        <v>62</v>
      </c>
      <c r="G6" s="8" t="s">
        <v>63</v>
      </c>
      <c r="H6" s="8" t="s">
        <v>64</v>
      </c>
      <c r="I6" s="9" t="s">
        <v>18</v>
      </c>
    </row>
    <row r="7" spans="1:9">
      <c r="A7" s="17">
        <v>140</v>
      </c>
      <c r="B7">
        <v>155.38</v>
      </c>
      <c r="C7">
        <f t="shared" ref="C7" si="0">(LN(B7/A7)+$B$1*$B$2)/($B$3*$B$2^0.5)+0.5*$B$3*$B$2^0.5</f>
        <v>0.65593090296442036</v>
      </c>
      <c r="D7">
        <f t="shared" ref="D7:D35" si="1">C7-$B$3*$B$2^0.5</f>
        <v>0.47093162842548342</v>
      </c>
      <c r="E7">
        <f>_xlfn.NORM.DIST(C7,0,1,TRUE)</f>
        <v>0.74406570821847673</v>
      </c>
      <c r="F7">
        <f>_xlfn.NORM.DIST(D7,0,1,TRUE)</f>
        <v>0.68115521958616143</v>
      </c>
      <c r="G7">
        <f>B7*E7-A7*EXP(-$B$1*$B$2)*F7</f>
        <v>20.251491617292999</v>
      </c>
      <c r="H7" s="4">
        <v>16.399999999999999</v>
      </c>
      <c r="I7">
        <v>0.6529228672629741</v>
      </c>
    </row>
    <row r="8" spans="1:9">
      <c r="A8" s="17">
        <v>145</v>
      </c>
      <c r="B8">
        <v>155.38</v>
      </c>
      <c r="C8">
        <f t="shared" ref="C8:C35" si="2">(LN(B8/A8)+$B$1*$B$2)/($B$3*$B$2^0.5)+0.5*$B$3*$B$2^0.5</f>
        <v>0.46624734934656803</v>
      </c>
      <c r="D8">
        <f t="shared" si="1"/>
        <v>0.28124807480763114</v>
      </c>
      <c r="E8">
        <f t="shared" ref="E8:E35" si="3">_xlfn.NORM.DIST(C8,0,1,TRUE)</f>
        <v>0.67948076963494319</v>
      </c>
      <c r="F8">
        <f t="shared" ref="F8:F35" si="4">_xlfn.NORM.DIST(D8,0,1,TRUE)</f>
        <v>0.61073993313496866</v>
      </c>
      <c r="G8">
        <f t="shared" ref="G8:G35" si="5">B8*E8-A8*EXP(-$B$1*$B$2)*F8</f>
        <v>17.02070341832885</v>
      </c>
      <c r="H8" s="4">
        <v>11.35</v>
      </c>
      <c r="I8">
        <v>0.48623426728739888</v>
      </c>
    </row>
    <row r="9" spans="1:9">
      <c r="A9" s="17">
        <v>150</v>
      </c>
      <c r="B9">
        <v>155.38</v>
      </c>
      <c r="C9">
        <f t="shared" si="2"/>
        <v>0.28299500005940414</v>
      </c>
      <c r="D9">
        <f t="shared" si="1"/>
        <v>9.7995725520467231E-2</v>
      </c>
      <c r="E9">
        <f t="shared" si="3"/>
        <v>0.61140966510754435</v>
      </c>
      <c r="F9">
        <f t="shared" si="4"/>
        <v>0.53903215621373368</v>
      </c>
      <c r="G9">
        <f t="shared" si="5"/>
        <v>14.146258434441449</v>
      </c>
      <c r="H9" s="4">
        <v>6.6</v>
      </c>
      <c r="I9">
        <v>0.35722406752902958</v>
      </c>
    </row>
    <row r="10" spans="1:9">
      <c r="A10" s="17">
        <v>152.5</v>
      </c>
      <c r="B10">
        <v>155.38</v>
      </c>
      <c r="C10">
        <f t="shared" si="2"/>
        <v>0.19364707157478889</v>
      </c>
      <c r="D10">
        <f t="shared" si="1"/>
        <v>8.6477970358519729E-3</v>
      </c>
      <c r="E10">
        <f t="shared" si="3"/>
        <v>0.57677388101440719</v>
      </c>
      <c r="F10">
        <f t="shared" si="4"/>
        <v>0.50344992886973827</v>
      </c>
      <c r="G10">
        <f t="shared" si="5"/>
        <v>12.843247066002462</v>
      </c>
      <c r="H10" s="4">
        <v>4.4000000000000004</v>
      </c>
      <c r="I10">
        <v>0.29926705467224568</v>
      </c>
    </row>
    <row r="11" spans="1:9">
      <c r="A11" s="17">
        <v>155</v>
      </c>
      <c r="B11">
        <v>155.38</v>
      </c>
      <c r="C11">
        <f t="shared" si="2"/>
        <v>0.1057520194871224</v>
      </c>
      <c r="D11">
        <f t="shared" si="1"/>
        <v>-7.9247255051814514E-2</v>
      </c>
      <c r="E11">
        <f t="shared" si="3"/>
        <v>0.54211044693309973</v>
      </c>
      <c r="F11">
        <f t="shared" si="4"/>
        <v>0.46841797932744134</v>
      </c>
      <c r="G11">
        <f t="shared" si="5"/>
        <v>11.628557235660807</v>
      </c>
      <c r="H11" s="4">
        <v>2.5499999999999998</v>
      </c>
      <c r="I11">
        <v>0.25693648272969688</v>
      </c>
    </row>
    <row r="12" spans="1:9">
      <c r="A12" s="17">
        <v>157.5</v>
      </c>
      <c r="B12">
        <v>155.38</v>
      </c>
      <c r="C12">
        <f t="shared" si="2"/>
        <v>1.9263348727100157E-2</v>
      </c>
      <c r="D12">
        <f t="shared" si="1"/>
        <v>-0.16573592581183677</v>
      </c>
      <c r="E12">
        <f t="shared" si="3"/>
        <v>0.50768448901073726</v>
      </c>
      <c r="F12">
        <f t="shared" si="4"/>
        <v>0.43418238615774235</v>
      </c>
      <c r="G12">
        <f t="shared" si="5"/>
        <v>10.50049991731629</v>
      </c>
      <c r="H12" s="4">
        <v>1.33</v>
      </c>
      <c r="I12">
        <v>0.241575914995418</v>
      </c>
    </row>
    <row r="13" spans="1:9">
      <c r="A13" s="17">
        <v>160</v>
      </c>
      <c r="B13">
        <v>155.38</v>
      </c>
      <c r="C13">
        <f t="shared" si="2"/>
        <v>-6.5863238971083163E-2</v>
      </c>
      <c r="D13">
        <f t="shared" si="1"/>
        <v>-0.25086251351002009</v>
      </c>
      <c r="E13">
        <f t="shared" si="3"/>
        <v>0.47374335402851603</v>
      </c>
      <c r="F13">
        <f t="shared" si="4"/>
        <v>0.40096020383792969</v>
      </c>
      <c r="G13">
        <f t="shared" si="5"/>
        <v>9.4568065895623192</v>
      </c>
      <c r="H13" s="4">
        <v>0.62</v>
      </c>
      <c r="I13">
        <v>0.23627035061065177</v>
      </c>
    </row>
    <row r="14" spans="1:9">
      <c r="A14" s="17">
        <v>162.5</v>
      </c>
      <c r="B14">
        <v>155.38</v>
      </c>
      <c r="C14">
        <f t="shared" si="2"/>
        <v>-0.14966998131969744</v>
      </c>
      <c r="D14">
        <f t="shared" si="1"/>
        <v>-0.33466925585863438</v>
      </c>
      <c r="E14">
        <f t="shared" si="3"/>
        <v>0.44051249639791501</v>
      </c>
      <c r="F14">
        <f t="shared" si="4"/>
        <v>0.36893729781241597</v>
      </c>
      <c r="G14">
        <f t="shared" si="5"/>
        <v>8.4947047587635396</v>
      </c>
      <c r="H14" s="4">
        <v>0.33</v>
      </c>
      <c r="I14">
        <v>0.25154282332848471</v>
      </c>
    </row>
    <row r="15" spans="1:9">
      <c r="A15" s="17">
        <v>165</v>
      </c>
      <c r="B15">
        <v>155.38</v>
      </c>
      <c r="C15">
        <f t="shared" si="2"/>
        <v>-0.23219718132542022</v>
      </c>
      <c r="D15">
        <f t="shared" si="1"/>
        <v>-0.41719645586435716</v>
      </c>
      <c r="E15">
        <f t="shared" si="3"/>
        <v>0.40819243345744388</v>
      </c>
      <c r="F15">
        <f t="shared" si="4"/>
        <v>0.33826735865791924</v>
      </c>
      <c r="G15">
        <f t="shared" si="5"/>
        <v>7.6109973970252653</v>
      </c>
      <c r="H15" s="4">
        <v>0.15</v>
      </c>
      <c r="I15">
        <v>0.25753462478947675</v>
      </c>
    </row>
    <row r="16" spans="1:9">
      <c r="A16" s="17">
        <v>167.5</v>
      </c>
      <c r="B16">
        <v>155.38</v>
      </c>
      <c r="C16">
        <f t="shared" si="2"/>
        <v>-0.31348332367391651</v>
      </c>
      <c r="D16">
        <f t="shared" si="1"/>
        <v>-0.49848259821285346</v>
      </c>
      <c r="E16">
        <f t="shared" si="3"/>
        <v>0.37695674422535003</v>
      </c>
      <c r="F16">
        <f t="shared" si="4"/>
        <v>0.30907196578647145</v>
      </c>
      <c r="G16">
        <f t="shared" si="5"/>
        <v>6.8021435027798844</v>
      </c>
      <c r="H16" s="4">
        <v>0.08</v>
      </c>
      <c r="I16">
        <v>0.27272357135854608</v>
      </c>
    </row>
    <row r="17" spans="1:9">
      <c r="A17" s="17">
        <v>170</v>
      </c>
      <c r="B17">
        <v>155.38</v>
      </c>
      <c r="C17">
        <f t="shared" si="2"/>
        <v>-0.39356518249235489</v>
      </c>
      <c r="D17">
        <f t="shared" si="1"/>
        <v>-0.57856445703129178</v>
      </c>
      <c r="E17">
        <f t="shared" si="3"/>
        <v>0.34695104555210005</v>
      </c>
      <c r="F17">
        <f t="shared" si="4"/>
        <v>0.28144154659361498</v>
      </c>
      <c r="G17">
        <f t="shared" si="5"/>
        <v>6.0643373489933836</v>
      </c>
      <c r="H17" s="4">
        <v>0.05</v>
      </c>
      <c r="I17">
        <v>0.29326723194354154</v>
      </c>
    </row>
    <row r="18" spans="1:9">
      <c r="A18" s="17">
        <v>172.5</v>
      </c>
      <c r="B18">
        <v>155.38</v>
      </c>
      <c r="C18">
        <f t="shared" si="2"/>
        <v>-0.47247792124517624</v>
      </c>
      <c r="D18">
        <f t="shared" si="1"/>
        <v>-0.65747719578411312</v>
      </c>
      <c r="E18">
        <f t="shared" si="3"/>
        <v>0.31829284871316099</v>
      </c>
      <c r="F18">
        <f t="shared" si="4"/>
        <v>0.25543706465245986</v>
      </c>
      <c r="G18">
        <f t="shared" si="5"/>
        <v>5.3935843869815585</v>
      </c>
      <c r="H18" s="4">
        <v>0.05</v>
      </c>
      <c r="I18">
        <v>0.33347192776296514</v>
      </c>
    </row>
    <row r="19" spans="1:9">
      <c r="A19" s="17">
        <v>175</v>
      </c>
      <c r="B19">
        <v>155.38</v>
      </c>
      <c r="C19">
        <f t="shared" si="2"/>
        <v>-0.55025518544234597</v>
      </c>
      <c r="D19">
        <f t="shared" si="1"/>
        <v>-0.73525445998128292</v>
      </c>
      <c r="E19">
        <f t="shared" si="3"/>
        <v>0.29107217865106755</v>
      </c>
      <c r="F19">
        <f t="shared" si="4"/>
        <v>0.2310922686734688</v>
      </c>
      <c r="G19">
        <f t="shared" si="5"/>
        <v>4.785772194138076</v>
      </c>
      <c r="H19" s="4">
        <v>0.01</v>
      </c>
      <c r="I19">
        <v>0.3069265707045758</v>
      </c>
    </row>
    <row r="20" spans="1:9">
      <c r="A20" s="17">
        <v>180</v>
      </c>
      <c r="B20">
        <v>155.38</v>
      </c>
      <c r="C20">
        <f t="shared" si="2"/>
        <v>-0.70253079320840328</v>
      </c>
      <c r="D20">
        <f t="shared" si="1"/>
        <v>-0.88753006774734022</v>
      </c>
      <c r="E20">
        <f t="shared" si="3"/>
        <v>0.24117410250438459</v>
      </c>
      <c r="F20">
        <f t="shared" si="4"/>
        <v>0.18739679273943829</v>
      </c>
      <c r="G20">
        <f t="shared" si="5"/>
        <v>3.742312858513074</v>
      </c>
      <c r="H20" s="4">
        <v>0.02</v>
      </c>
      <c r="I20">
        <v>0.39797655488517802</v>
      </c>
    </row>
    <row r="21" spans="1:9">
      <c r="A21" s="17">
        <v>185</v>
      </c>
      <c r="B21">
        <v>155.38</v>
      </c>
      <c r="C21">
        <f t="shared" si="2"/>
        <v>-0.85063393716072078</v>
      </c>
      <c r="D21">
        <f t="shared" si="1"/>
        <v>-1.0356332116996576</v>
      </c>
      <c r="E21">
        <f t="shared" si="3"/>
        <v>0.19748636565563324</v>
      </c>
      <c r="F21">
        <f t="shared" si="4"/>
        <v>0.15018664583944236</v>
      </c>
      <c r="G21">
        <f t="shared" si="5"/>
        <v>2.9009872717830554</v>
      </c>
      <c r="H21" s="4">
        <v>0.03</v>
      </c>
      <c r="I21">
        <v>0.48263127970757497</v>
      </c>
    </row>
    <row r="22" spans="1:9">
      <c r="A22" s="17">
        <v>190</v>
      </c>
      <c r="B22">
        <v>155.38</v>
      </c>
      <c r="C22">
        <f t="shared" si="2"/>
        <v>-0.99478718937549315</v>
      </c>
      <c r="D22">
        <f t="shared" si="1"/>
        <v>-1.17978646391443</v>
      </c>
      <c r="E22">
        <f t="shared" si="3"/>
        <v>0.15991988906313573</v>
      </c>
      <c r="F22">
        <f t="shared" si="4"/>
        <v>0.11904257725734428</v>
      </c>
      <c r="G22">
        <f t="shared" si="5"/>
        <v>2.2303320870813934</v>
      </c>
      <c r="H22" s="4">
        <v>0.01</v>
      </c>
      <c r="I22">
        <v>0.48745759250465071</v>
      </c>
    </row>
    <row r="23" spans="1:9">
      <c r="A23" s="17">
        <v>195</v>
      </c>
      <c r="B23">
        <v>155.38</v>
      </c>
      <c r="C23">
        <f t="shared" si="2"/>
        <v>-1.1351957745875048</v>
      </c>
      <c r="D23">
        <f t="shared" si="1"/>
        <v>-1.3201950491264416</v>
      </c>
      <c r="E23">
        <f t="shared" si="3"/>
        <v>0.12814664976879486</v>
      </c>
      <c r="F23">
        <f t="shared" si="4"/>
        <v>9.3384952260802706E-2</v>
      </c>
      <c r="G23">
        <f t="shared" si="5"/>
        <v>1.7014166275949343</v>
      </c>
      <c r="H23" s="4">
        <v>0.03</v>
      </c>
      <c r="I23">
        <v>0.60828752064539404</v>
      </c>
    </row>
    <row r="24" spans="1:9">
      <c r="A24" s="17">
        <v>200</v>
      </c>
      <c r="B24">
        <v>155.38</v>
      </c>
      <c r="C24">
        <f t="shared" si="2"/>
        <v>-1.2720493273778499</v>
      </c>
      <c r="D24">
        <f t="shared" si="1"/>
        <v>-1.4570486019167868</v>
      </c>
      <c r="E24">
        <f t="shared" si="3"/>
        <v>0.10167779681833294</v>
      </c>
      <c r="F24">
        <f t="shared" si="4"/>
        <v>7.2551482353154326E-2</v>
      </c>
      <c r="G24">
        <f t="shared" si="5"/>
        <v>1.2884441236787314</v>
      </c>
      <c r="H24" s="4">
        <v>0.03</v>
      </c>
      <c r="I24">
        <v>0.6670285136643721</v>
      </c>
    </row>
    <row r="25" spans="1:9">
      <c r="A25" s="17">
        <v>205</v>
      </c>
      <c r="B25">
        <v>155.38</v>
      </c>
      <c r="C25">
        <f t="shared" si="2"/>
        <v>-1.4055234323542687</v>
      </c>
      <c r="D25">
        <f t="shared" si="1"/>
        <v>-1.5905227068932055</v>
      </c>
      <c r="E25">
        <f t="shared" si="3"/>
        <v>7.9932843212256549E-2</v>
      </c>
      <c r="F25">
        <f t="shared" si="4"/>
        <v>5.5858515730392508E-2</v>
      </c>
      <c r="G25">
        <f t="shared" si="5"/>
        <v>0.96900459083800072</v>
      </c>
      <c r="H25" s="4">
        <v>0.03</v>
      </c>
      <c r="I25">
        <v>0.72565700194623606</v>
      </c>
    </row>
    <row r="26" spans="1:9">
      <c r="A26" s="17">
        <v>210</v>
      </c>
      <c r="B26">
        <v>155.38</v>
      </c>
      <c r="C26">
        <f t="shared" si="2"/>
        <v>-1.5357809787101535</v>
      </c>
      <c r="D26">
        <f t="shared" si="1"/>
        <v>-1.7207802532490903</v>
      </c>
      <c r="E26">
        <f t="shared" si="3"/>
        <v>6.229605319281576E-2</v>
      </c>
      <c r="F26">
        <f t="shared" si="4"/>
        <v>4.2645353501693219E-2</v>
      </c>
      <c r="G26">
        <f t="shared" si="5"/>
        <v>0.72406398966675134</v>
      </c>
      <c r="H26" s="4">
        <v>0.02</v>
      </c>
      <c r="I26">
        <v>0.75069211747318565</v>
      </c>
    </row>
    <row r="27" spans="1:9">
      <c r="A27" s="17">
        <v>215</v>
      </c>
      <c r="B27">
        <v>155.38</v>
      </c>
      <c r="C27">
        <f t="shared" si="2"/>
        <v>-1.6629733553766983</v>
      </c>
      <c r="D27">
        <f t="shared" si="1"/>
        <v>-1.8479726299156352</v>
      </c>
      <c r="E27">
        <f t="shared" si="3"/>
        <v>4.8158884566151909E-2</v>
      </c>
      <c r="F27">
        <f t="shared" si="4"/>
        <v>3.2303151196405033E-2</v>
      </c>
      <c r="G27">
        <f t="shared" si="5"/>
        <v>0.53777128785851591</v>
      </c>
      <c r="H27" s="4">
        <v>0.01</v>
      </c>
      <c r="I27">
        <v>0.75069211747318565</v>
      </c>
    </row>
    <row r="28" spans="1:9">
      <c r="A28" s="17">
        <v>220</v>
      </c>
      <c r="B28">
        <v>155.38</v>
      </c>
      <c r="C28">
        <f t="shared" si="2"/>
        <v>-1.7872415087626736</v>
      </c>
      <c r="D28">
        <f t="shared" si="1"/>
        <v>-1.9722407833016105</v>
      </c>
      <c r="E28">
        <f t="shared" si="3"/>
        <v>3.6949231557740138E-2</v>
      </c>
      <c r="F28">
        <f t="shared" si="4"/>
        <v>2.4291063010114626E-2</v>
      </c>
      <c r="G28">
        <f t="shared" si="5"/>
        <v>0.39715413532258914</v>
      </c>
      <c r="H28" s="4">
        <v>0.01</v>
      </c>
      <c r="I28">
        <v>0.79393368790619667</v>
      </c>
    </row>
    <row r="29" spans="1:9">
      <c r="A29" s="17">
        <v>225</v>
      </c>
      <c r="B29">
        <v>155.38</v>
      </c>
      <c r="C29">
        <f t="shared" si="2"/>
        <v>-1.9087168816151698</v>
      </c>
      <c r="D29">
        <f t="shared" si="1"/>
        <v>-2.0937161561541067</v>
      </c>
      <c r="E29">
        <f t="shared" si="3"/>
        <v>2.8149312105809655E-2</v>
      </c>
      <c r="F29">
        <f t="shared" si="4"/>
        <v>1.8142636427842421E-2</v>
      </c>
      <c r="G29">
        <f t="shared" si="5"/>
        <v>0.29175944459195513</v>
      </c>
      <c r="H29" s="4">
        <v>0.01</v>
      </c>
      <c r="I29">
        <v>0.83965304976917432</v>
      </c>
    </row>
    <row r="30" spans="1:9">
      <c r="A30" s="17">
        <v>230</v>
      </c>
      <c r="B30">
        <v>155.38</v>
      </c>
      <c r="C30">
        <f t="shared" si="2"/>
        <v>-2.0275222486824291</v>
      </c>
      <c r="D30">
        <f t="shared" si="1"/>
        <v>-2.212521523221366</v>
      </c>
      <c r="E30">
        <f t="shared" si="3"/>
        <v>2.1304515734905712E-2</v>
      </c>
      <c r="F30">
        <f t="shared" si="4"/>
        <v>1.3465325360762195E-2</v>
      </c>
      <c r="G30">
        <f t="shared" si="5"/>
        <v>0.2132803250992521</v>
      </c>
      <c r="H30" s="4">
        <v>0.03</v>
      </c>
      <c r="I30">
        <v>0.98322795856095579</v>
      </c>
    </row>
    <row r="31" spans="1:9">
      <c r="A31" s="17">
        <v>235</v>
      </c>
      <c r="B31">
        <v>155.38</v>
      </c>
      <c r="C31">
        <f t="shared" si="2"/>
        <v>-2.1437724624984691</v>
      </c>
      <c r="D31">
        <f t="shared" si="1"/>
        <v>-2.3287717370374059</v>
      </c>
      <c r="E31">
        <f t="shared" si="3"/>
        <v>1.6025561410390177E-2</v>
      </c>
      <c r="F31">
        <f t="shared" si="4"/>
        <v>9.9355807146631232E-3</v>
      </c>
      <c r="G31">
        <f t="shared" si="5"/>
        <v>0.15519742849602158</v>
      </c>
      <c r="H31" s="4">
        <v>0.03</v>
      </c>
      <c r="I31">
        <v>1.0304813602347751</v>
      </c>
    </row>
    <row r="32" spans="1:9">
      <c r="A32" s="17">
        <v>240</v>
      </c>
      <c r="B32">
        <v>155.38</v>
      </c>
      <c r="C32">
        <f t="shared" si="2"/>
        <v>-2.2575751206456567</v>
      </c>
      <c r="D32">
        <f t="shared" si="1"/>
        <v>-2.4425743951845935</v>
      </c>
      <c r="E32">
        <f t="shared" si="3"/>
        <v>1.1986080603394223E-2</v>
      </c>
      <c r="F32">
        <f t="shared" si="4"/>
        <v>7.2914618143417572E-3</v>
      </c>
      <c r="G32">
        <f t="shared" si="5"/>
        <v>0.11245173841728673</v>
      </c>
      <c r="H32" s="4">
        <v>0.03</v>
      </c>
      <c r="I32">
        <v>1.0766718546784135</v>
      </c>
    </row>
    <row r="33" spans="1:9">
      <c r="A33" s="17">
        <v>245</v>
      </c>
      <c r="B33">
        <v>155.38</v>
      </c>
      <c r="C33">
        <f t="shared" si="2"/>
        <v>-2.3690311642119029</v>
      </c>
      <c r="D33">
        <f t="shared" si="1"/>
        <v>-2.5540304387508397</v>
      </c>
      <c r="E33">
        <f t="shared" si="3"/>
        <v>8.9173753051934122E-3</v>
      </c>
      <c r="F33">
        <f t="shared" si="4"/>
        <v>5.324197362156979E-3</v>
      </c>
      <c r="G33">
        <f t="shared" si="5"/>
        <v>8.1157423815820362E-2</v>
      </c>
      <c r="H33" s="4">
        <v>0.03</v>
      </c>
      <c r="I33">
        <v>1.1216263480039057</v>
      </c>
    </row>
    <row r="34" spans="1:9">
      <c r="A34" s="17">
        <v>250</v>
      </c>
      <c r="B34">
        <v>155.38</v>
      </c>
      <c r="C34">
        <f t="shared" si="2"/>
        <v>-2.4782354157846158</v>
      </c>
      <c r="D34">
        <f t="shared" si="1"/>
        <v>-2.6632346903235526</v>
      </c>
      <c r="E34">
        <f t="shared" si="3"/>
        <v>6.6016998391542833E-3</v>
      </c>
      <c r="F34">
        <f t="shared" si="4"/>
        <v>3.869670761526548E-3</v>
      </c>
      <c r="G34">
        <f t="shared" si="5"/>
        <v>5.8357399136158006E-2</v>
      </c>
      <c r="H34" s="4">
        <v>0.03</v>
      </c>
      <c r="I34">
        <v>1.1654001381764871</v>
      </c>
    </row>
    <row r="35" spans="1:9">
      <c r="A35" s="17">
        <v>260</v>
      </c>
      <c r="B35">
        <v>155.38</v>
      </c>
      <c r="C35">
        <f t="shared" si="2"/>
        <v>-2.6902401020247591</v>
      </c>
      <c r="D35">
        <f t="shared" si="1"/>
        <v>-2.8752393765636959</v>
      </c>
      <c r="E35">
        <f t="shared" si="3"/>
        <v>3.570031346672733E-3</v>
      </c>
      <c r="F35">
        <f t="shared" si="4"/>
        <v>2.0186064568012982E-3</v>
      </c>
      <c r="G35">
        <f t="shared" si="5"/>
        <v>2.9875402336023371E-2</v>
      </c>
      <c r="H35" s="4">
        <v>0.03</v>
      </c>
      <c r="I35">
        <v>1.2496012877451914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topLeftCell="A4" workbookViewId="0">
      <selection activeCell="D24" sqref="D24:D25"/>
    </sheetView>
  </sheetViews>
  <sheetFormatPr defaultRowHeight="16.2"/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69CA6A5-2E5E-47DF-8F92-4C6329A22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736C1F-F082-4617-9817-50A169D060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39EE37-D4C1-46DE-8A39-EDC2749C9909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f065381b-d66d-4412-bddd-68009f5f4a61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ymchiang</dc:creator>
  <cp:lastModifiedBy>王博奕</cp:lastModifiedBy>
  <dcterms:created xsi:type="dcterms:W3CDTF">2014-12-15T01:01:20Z</dcterms:created>
  <dcterms:modified xsi:type="dcterms:W3CDTF">2022-01-10T10:47:43Z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