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2021 Fall\FINMOD\notes\"/>
    </mc:Choice>
  </mc:AlternateContent>
  <xr:revisionPtr revIDLastSave="0" documentId="13_ncr:1_{E9924D6F-EBEF-407B-A8CE-B28DF52CBF00}" xr6:coauthVersionLast="36" xr6:coauthVersionMax="36" xr10:uidLastSave="{00000000-0000-0000-0000-000000000000}"/>
  <bookViews>
    <workbookView xWindow="0" yWindow="0" windowWidth="21570" windowHeight="8115" xr2:uid="{00000000-000D-0000-FFFF-FFFF00000000}"/>
  </bookViews>
  <sheets>
    <sheet name="工作表1" sheetId="1" r:id="rId1"/>
  </sheets>
  <definedNames>
    <definedName name="solver_adj" localSheetId="0" hidden="1">工作表1!$B$75:$D$75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工作表1!$G$75</definedName>
    <definedName name="solver_lhs2" localSheetId="0" hidden="1">工作表1!$H$75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工作表1!$E$75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2" localSheetId="0" hidden="1">2</definedName>
    <definedName name="solver_rhs1" localSheetId="0" hidden="1">+工作表1!$A$75</definedName>
    <definedName name="solver_rhs2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5" i="1" l="1"/>
  <c r="E70" i="1"/>
  <c r="D69" i="1"/>
  <c r="C68" i="1"/>
  <c r="E75" i="1" s="1" a="1"/>
  <c r="E75" i="1" s="1"/>
  <c r="F75" i="1" s="1"/>
  <c r="E69" i="1"/>
  <c r="E68" i="1"/>
  <c r="D68" i="1"/>
  <c r="D64" i="1"/>
  <c r="C64" i="1"/>
  <c r="B64" i="1"/>
  <c r="E63" i="1"/>
  <c r="A78" i="1" s="1"/>
  <c r="D63" i="1"/>
  <c r="C63" i="1"/>
  <c r="B63" i="1"/>
  <c r="G75" i="1" s="1" a="1"/>
  <c r="G75" i="1" s="1"/>
  <c r="D62" i="1"/>
  <c r="C62" i="1"/>
  <c r="B62" i="1"/>
  <c r="F63" i="1" l="1"/>
  <c r="A88" i="1" s="1"/>
  <c r="A79" i="1" s="1"/>
  <c r="A80" i="1" s="1"/>
  <c r="A81" i="1" s="1"/>
  <c r="A82" i="1" s="1"/>
  <c r="A83" i="1" s="1"/>
  <c r="A84" i="1" s="1"/>
  <c r="A85" i="1" s="1"/>
  <c r="A86" i="1" s="1"/>
  <c r="A87" i="1" s="1"/>
</calcChain>
</file>

<file path=xl/sharedStrings.xml><?xml version="1.0" encoding="utf-8"?>
<sst xmlns="http://schemas.openxmlformats.org/spreadsheetml/2006/main" count="33" uniqueCount="22">
  <si>
    <t>Intel</t>
  </si>
  <si>
    <t>Pepsi</t>
  </si>
  <si>
    <t>McDonald's</t>
  </si>
  <si>
    <t>number</t>
    <phoneticPr fontId="3" type="noConversion"/>
  </si>
  <si>
    <t>min</t>
    <phoneticPr fontId="3" type="noConversion"/>
  </si>
  <si>
    <t>max</t>
    <phoneticPr fontId="3" type="noConversion"/>
  </si>
  <si>
    <t>mean</t>
    <phoneticPr fontId="3" type="noConversion"/>
  </si>
  <si>
    <t>stdev</t>
    <phoneticPr fontId="3" type="noConversion"/>
  </si>
  <si>
    <t>var-cov</t>
    <phoneticPr fontId="3" type="noConversion"/>
  </si>
  <si>
    <t>欄 1</t>
  </si>
  <si>
    <t>欄 2</t>
  </si>
  <si>
    <t>欄 3</t>
  </si>
  <si>
    <t>calculation area</t>
    <phoneticPr fontId="3" type="noConversion"/>
  </si>
  <si>
    <t>weight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</si>
  <si>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</si>
  <si>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</si>
  <si>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</si>
  <si>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variance</t>
    <phoneticPr fontId="3" type="noConversion"/>
  </si>
  <si>
    <t>E(rp)</t>
    <phoneticPr fontId="3" type="noConversion"/>
  </si>
  <si>
    <t>sum</t>
    <phoneticPr fontId="3" type="noConversion"/>
  </si>
  <si>
    <t>stdev(rp)</t>
    <phoneticPr fontId="1" type="noConversion"/>
  </si>
  <si>
    <t>seed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</si>
</sst>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Times New Roman"/>
      <family val="1"/>
    </font>
    <font>
      <sz val="9"/>
      <name val="新細明體"/>
      <family val="1"/>
      <charset val="136"/>
    </font>
    <font>
      <sz val="12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wrapText="1"/>
    </xf>
    <xf numFmtId="0" fontId="2" fillId="0" borderId="0" xfId="0" applyFont="1" applyAlignment="1"/>
    <xf numFmtId="0" fontId="4" fillId="0" borderId="1" xfId="0" applyFont="1" applyFill="1" applyBorder="1" applyAlignment="1">
      <alignment horizontal="center"/>
    </xf>
    <xf numFmtId="0" fontId="0" fillId="0" borderId="0" xfId="0" applyFill="1" applyBorder="1" applyAlignment="1"/>
    <xf numFmtId="0" fontId="0" fillId="0" borderId="2" xfId="0" applyFill="1" applyBorder="1" applyAlignmen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工作表1!$G$89</c:f>
              <c:strCache>
                <c:ptCount val="1"/>
                <c:pt idx="0">
                  <c:v>E(rp)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工作表1!$F$90:$F$100</c:f>
              <c:numCache>
                <c:formatCode>General</c:formatCode>
                <c:ptCount val="11"/>
                <c:pt idx="0">
                  <c:v>6.4519928146234959E-2</c:v>
                </c:pt>
                <c:pt idx="1">
                  <c:v>5.4167823817073947E-2</c:v>
                </c:pt>
                <c:pt idx="2">
                  <c:v>5.512089727706939E-2</c:v>
                </c:pt>
                <c:pt idx="3">
                  <c:v>5.7842951016564101E-2</c:v>
                </c:pt>
                <c:pt idx="4">
                  <c:v>6.210179969406486E-2</c:v>
                </c:pt>
                <c:pt idx="5">
                  <c:v>6.7607635331752347E-2</c:v>
                </c:pt>
                <c:pt idx="6">
                  <c:v>7.4082966276950407E-2</c:v>
                </c:pt>
                <c:pt idx="7">
                  <c:v>8.1296435487035135E-2</c:v>
                </c:pt>
                <c:pt idx="8">
                  <c:v>8.9142169787648509E-2</c:v>
                </c:pt>
                <c:pt idx="9">
                  <c:v>9.7599245377228444E-2</c:v>
                </c:pt>
                <c:pt idx="10">
                  <c:v>0.10652533156293534</c:v>
                </c:pt>
              </c:numCache>
            </c:numRef>
          </c:xVal>
          <c:yVal>
            <c:numRef>
              <c:f>工作表1!$G$90:$G$100</c:f>
              <c:numCache>
                <c:formatCode>General</c:formatCode>
                <c:ptCount val="11"/>
                <c:pt idx="0">
                  <c:v>1.1275932203389826E-2</c:v>
                </c:pt>
                <c:pt idx="1">
                  <c:v>1.2936440600095314E-2</c:v>
                </c:pt>
                <c:pt idx="2">
                  <c:v>1.4596949151856265E-2</c:v>
                </c:pt>
                <c:pt idx="3">
                  <c:v>1.625745927420752E-2</c:v>
                </c:pt>
                <c:pt idx="4">
                  <c:v>1.7917967751913799E-2</c:v>
                </c:pt>
                <c:pt idx="5">
                  <c:v>1.9578474582847824E-2</c:v>
                </c:pt>
                <c:pt idx="6">
                  <c:v>2.1238984710937669E-2</c:v>
                </c:pt>
                <c:pt idx="7">
                  <c:v>2.289949149541437E-2</c:v>
                </c:pt>
                <c:pt idx="8">
                  <c:v>2.4560000003787965E-2</c:v>
                </c:pt>
                <c:pt idx="9">
                  <c:v>2.622051013508472E-2</c:v>
                </c:pt>
                <c:pt idx="10">
                  <c:v>2.7881016830696718E-2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2D-4907-B95E-D77CB13F1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41391"/>
        <c:axId val="1583743983"/>
      </c:scatterChart>
      <c:valAx>
        <c:axId val="1588441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83743983"/>
        <c:crosses val="autoZero"/>
        <c:crossBetween val="midCat"/>
      </c:valAx>
      <c:valAx>
        <c:axId val="1583743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884413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419100</xdr:colOff>
      <xdr:row>76</xdr:row>
      <xdr:rowOff>47625</xdr:rowOff>
    </xdr:from>
    <xdr:to>
      <xdr:col>9</xdr:col>
      <xdr:colOff>0</xdr:colOff>
      <xdr:row>84</xdr:row>
      <xdr:rowOff>9525</xdr:rowOff>
    </xdr:to>
    <xdr:pic macro="[0]!portfolio">
      <xdr:nvPicPr>
        <xdr:cNvPr id="6" name="圖片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3900" y="16202025"/>
          <a:ext cx="1638300" cy="1638300"/>
        </a:xfrm>
        <a:prstGeom prst="rect">
          <a:avLst/>
        </a:prstGeom>
      </xdr:spPr>
    </xdr:pic>
    <xdr:clientData/>
  </xdr:twoCellAnchor>
  <xdr:twoCellAnchor>
    <xdr:from>
      <xdr:col>10</xdr:col>
      <xdr:colOff>200025</xdr:colOff>
      <xdr:row>74</xdr:row>
      <xdr:rowOff>123825</xdr:rowOff>
    </xdr:from>
    <xdr:to>
      <xdr:col>14</xdr:col>
      <xdr:colOff>676275</xdr:colOff>
      <xdr:row>79</xdr:row>
      <xdr:rowOff>57150</xdr:rowOff>
    </xdr:to>
    <xdr:sp macro="[0]!portfolio" textlink="">
      <xdr:nvSpPr>
        <xdr:cNvPr id="12" name="文字方塊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058025" y="15859125"/>
          <a:ext cx="3219450" cy="981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1100"/>
            <a:t>Press here.</a:t>
          </a:r>
          <a:endParaRPr lang="zh-TW" altLang="en-US" sz="1100"/>
        </a:p>
      </xdr:txBody>
    </xdr:sp>
    <xdr:clientData/>
  </xdr:twoCellAnchor>
  <xdr:twoCellAnchor>
    <xdr:from>
      <xdr:col>9</xdr:col>
      <xdr:colOff>419100</xdr:colOff>
      <xdr:row>81</xdr:row>
      <xdr:rowOff>57150</xdr:rowOff>
    </xdr:from>
    <xdr:to>
      <xdr:col>16</xdr:col>
      <xdr:colOff>190500</xdr:colOff>
      <xdr:row>94</xdr:row>
      <xdr:rowOff>76200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83E047D1-A60B-4D17-A9FF-81508FE445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I100"/>
  <sheetViews>
    <sheetView tabSelected="1" topLeftCell="A72" workbookViewId="0">
      <selection activeCell="F89" sqref="F89:G100"/>
    </sheetView>
  </sheetViews>
  <sheetFormatPr defaultRowHeight="16.5"/>
  <sheetData>
    <row r="1" spans="1:9" ht="33">
      <c r="A1" s="1"/>
      <c r="B1" s="2" t="s">
        <v>0</v>
      </c>
      <c r="C1" s="2" t="s">
        <v>1</v>
      </c>
      <c r="D1" s="2" t="s">
        <v>2</v>
      </c>
      <c r="E1" s="1"/>
      <c r="F1" s="1"/>
      <c r="G1" s="1"/>
      <c r="H1" s="1"/>
      <c r="I1" s="1"/>
    </row>
    <row r="2" spans="1:9">
      <c r="A2" s="1"/>
      <c r="B2" s="1"/>
      <c r="C2" s="1"/>
      <c r="D2" s="1"/>
      <c r="E2" s="1"/>
      <c r="F2" s="1"/>
      <c r="G2" s="1"/>
      <c r="H2" s="1"/>
      <c r="I2" s="1"/>
    </row>
    <row r="3" spans="1:9">
      <c r="A3" s="1"/>
      <c r="B3" s="1">
        <v>0.14493</v>
      </c>
      <c r="C3" s="1">
        <v>-0.10156</v>
      </c>
      <c r="D3" s="1">
        <v>-5.4350000000000002E-2</v>
      </c>
      <c r="E3" s="1"/>
      <c r="F3" s="1"/>
      <c r="G3" s="1"/>
      <c r="H3" s="1"/>
      <c r="I3" s="1"/>
    </row>
    <row r="4" spans="1:9">
      <c r="A4" s="1"/>
      <c r="B4" s="1">
        <v>1.899E-2</v>
      </c>
      <c r="C4" s="1">
        <v>1.7389999999999999E-2</v>
      </c>
      <c r="D4" s="1">
        <v>-3.211E-2</v>
      </c>
      <c r="E4" s="1"/>
      <c r="F4" s="1"/>
      <c r="G4" s="1"/>
      <c r="H4" s="1"/>
      <c r="I4" s="1"/>
    </row>
    <row r="5" spans="1:9">
      <c r="A5" s="1"/>
      <c r="B5" s="1">
        <v>3.7269999999999998E-2</v>
      </c>
      <c r="C5" s="1">
        <v>7.4789999999999995E-2</v>
      </c>
      <c r="D5" s="1">
        <v>7.9399999999999991E-3</v>
      </c>
      <c r="E5" s="1"/>
      <c r="F5" s="1"/>
      <c r="G5" s="1"/>
      <c r="H5" s="1"/>
      <c r="I5" s="1"/>
    </row>
    <row r="6" spans="1:9">
      <c r="A6" s="1"/>
      <c r="B6" s="1">
        <v>-5.389E-2</v>
      </c>
      <c r="C6" s="1">
        <v>5.7880000000000001E-2</v>
      </c>
      <c r="D6" s="1">
        <v>-4.7239999999999997E-2</v>
      </c>
      <c r="E6" s="1"/>
      <c r="F6" s="1"/>
      <c r="G6" s="1"/>
      <c r="H6" s="1"/>
      <c r="I6" s="1"/>
    </row>
    <row r="7" spans="1:9">
      <c r="A7" s="1"/>
      <c r="B7" s="1">
        <v>0.22151999999999999</v>
      </c>
      <c r="C7" s="1">
        <v>0.11509</v>
      </c>
      <c r="D7" s="1">
        <v>0.14743999999999999</v>
      </c>
      <c r="E7" s="1"/>
      <c r="F7" s="1"/>
      <c r="G7" s="1"/>
      <c r="H7" s="1"/>
      <c r="I7" s="1"/>
    </row>
    <row r="8" spans="1:9">
      <c r="A8" s="1"/>
      <c r="B8" s="1">
        <v>-2.5909999999999999E-2</v>
      </c>
      <c r="C8" s="1">
        <v>5.4820000000000001E-2</v>
      </c>
      <c r="D8" s="1">
        <v>2.5270000000000001E-2</v>
      </c>
      <c r="E8" s="1"/>
      <c r="F8" s="1"/>
      <c r="G8" s="1"/>
      <c r="H8" s="1"/>
      <c r="I8" s="1"/>
    </row>
    <row r="9" spans="1:9">
      <c r="A9" s="1"/>
      <c r="B9" s="1">
        <v>-5.3190000000000001E-2</v>
      </c>
      <c r="C9" s="1">
        <v>-8.0499999999999999E-3</v>
      </c>
      <c r="D9" s="1">
        <v>-0.1162</v>
      </c>
      <c r="E9" s="1"/>
      <c r="F9" s="1"/>
      <c r="G9" s="1"/>
      <c r="H9" s="1"/>
      <c r="I9" s="1"/>
    </row>
    <row r="10" spans="1:9">
      <c r="A10" s="1"/>
      <c r="B10" s="1">
        <v>-0.25</v>
      </c>
      <c r="C10" s="1">
        <v>-2.435E-2</v>
      </c>
      <c r="D10" s="1">
        <v>-0.10884000000000001</v>
      </c>
      <c r="E10" s="1"/>
      <c r="F10" s="1"/>
      <c r="G10" s="1"/>
      <c r="H10" s="1"/>
      <c r="I10" s="1"/>
    </row>
    <row r="11" spans="1:9">
      <c r="A11" s="1"/>
      <c r="B11" s="1">
        <v>-3.7499999999999999E-3</v>
      </c>
      <c r="C11" s="1">
        <v>-7.7539999999999998E-2</v>
      </c>
      <c r="D11" s="1">
        <v>-6.726E-2</v>
      </c>
      <c r="E11" s="1"/>
      <c r="F11" s="1"/>
      <c r="G11" s="1"/>
      <c r="H11" s="1"/>
      <c r="I11" s="1"/>
    </row>
    <row r="12" spans="1:9">
      <c r="A12" s="1"/>
      <c r="B12" s="1">
        <v>7.5199999999999998E-3</v>
      </c>
      <c r="C12" s="1">
        <v>4.3479999999999998E-2</v>
      </c>
      <c r="D12" s="1">
        <v>-2.8850000000000001E-2</v>
      </c>
      <c r="E12" s="1"/>
      <c r="F12" s="1"/>
      <c r="G12" s="1"/>
      <c r="H12" s="1"/>
      <c r="I12" s="1"/>
    </row>
    <row r="13" spans="1:9">
      <c r="A13" s="1"/>
      <c r="B13" s="1">
        <v>0.11940000000000001</v>
      </c>
      <c r="C13" s="1">
        <v>6.7710000000000006E-2</v>
      </c>
      <c r="D13" s="1">
        <v>0.11723</v>
      </c>
      <c r="E13" s="1"/>
      <c r="F13" s="1"/>
      <c r="G13" s="1"/>
      <c r="H13" s="1"/>
      <c r="I13" s="1"/>
    </row>
    <row r="14" spans="1:9">
      <c r="A14" s="1"/>
      <c r="B14" s="1">
        <v>2.6669999999999999E-2</v>
      </c>
      <c r="C14" s="1">
        <v>1.8540000000000001E-2</v>
      </c>
      <c r="D14" s="1">
        <v>3.5560000000000001E-2</v>
      </c>
      <c r="E14" s="1"/>
      <c r="F14" s="1"/>
      <c r="G14" s="1"/>
      <c r="H14" s="1"/>
      <c r="I14" s="1"/>
    </row>
    <row r="15" spans="1:9">
      <c r="A15" s="1"/>
      <c r="B15" s="1">
        <v>0.18831000000000001</v>
      </c>
      <c r="C15" s="1">
        <v>5.7689999999999998E-2</v>
      </c>
      <c r="D15" s="1">
        <v>-2.146E-2</v>
      </c>
      <c r="E15" s="1"/>
      <c r="F15" s="1"/>
      <c r="G15" s="1"/>
      <c r="H15" s="1"/>
      <c r="I15" s="1"/>
    </row>
    <row r="16" spans="1:9">
      <c r="A16" s="1"/>
      <c r="B16" s="1">
        <v>4.3720000000000002E-2</v>
      </c>
      <c r="C16" s="1">
        <v>0.19091</v>
      </c>
      <c r="D16" s="1">
        <v>0.10965</v>
      </c>
      <c r="E16" s="1"/>
      <c r="F16" s="1"/>
      <c r="G16" s="1"/>
      <c r="H16" s="1"/>
      <c r="I16" s="1"/>
    </row>
    <row r="17" spans="1:9">
      <c r="A17" s="1"/>
      <c r="B17" s="1">
        <v>-2.094E-2</v>
      </c>
      <c r="C17" s="1">
        <v>4.8849999999999998E-2</v>
      </c>
      <c r="D17" s="1">
        <v>0.10150000000000001</v>
      </c>
      <c r="E17" s="1"/>
      <c r="F17" s="1"/>
      <c r="G17" s="1"/>
      <c r="H17" s="1"/>
      <c r="I17" s="1"/>
    </row>
    <row r="18" spans="1:9">
      <c r="A18" s="1"/>
      <c r="B18" s="1">
        <v>5.348E-2</v>
      </c>
      <c r="C18" s="1">
        <v>-6.9339999999999999E-2</v>
      </c>
      <c r="D18" s="1">
        <v>-3.5970000000000002E-2</v>
      </c>
      <c r="E18" s="1"/>
      <c r="F18" s="1"/>
      <c r="G18" s="1"/>
      <c r="H18" s="1"/>
      <c r="I18" s="1"/>
    </row>
    <row r="19" spans="1:9">
      <c r="A19" s="1"/>
      <c r="B19" s="1">
        <v>0.13197999999999999</v>
      </c>
      <c r="C19" s="1">
        <v>-1.5689999999999999E-2</v>
      </c>
      <c r="D19" s="1">
        <v>4.7539999999999999E-2</v>
      </c>
      <c r="E19" s="1"/>
      <c r="F19" s="1"/>
      <c r="G19" s="1"/>
      <c r="H19" s="1"/>
      <c r="I19" s="1"/>
    </row>
    <row r="20" spans="1:9">
      <c r="A20" s="1"/>
      <c r="B20" s="1">
        <v>-0.16592000000000001</v>
      </c>
      <c r="C20" s="1">
        <v>-7.1870000000000003E-2</v>
      </c>
      <c r="D20" s="1">
        <v>-6.071E-2</v>
      </c>
      <c r="E20" s="1"/>
      <c r="F20" s="1"/>
      <c r="G20" s="1"/>
      <c r="H20" s="1"/>
      <c r="I20" s="1"/>
    </row>
    <row r="21" spans="1:9">
      <c r="A21" s="1"/>
      <c r="B21" s="1">
        <v>1.0749999999999999E-2</v>
      </c>
      <c r="C21" s="1">
        <v>9.9140000000000006E-2</v>
      </c>
      <c r="D21" s="1">
        <v>-3.8E-3</v>
      </c>
      <c r="E21" s="1"/>
      <c r="F21" s="1"/>
      <c r="G21" s="1"/>
      <c r="H21" s="1"/>
      <c r="I21" s="1"/>
    </row>
    <row r="22" spans="1:9">
      <c r="A22" s="1"/>
      <c r="B22" s="1">
        <v>5.3190000000000001E-2</v>
      </c>
      <c r="C22" s="1">
        <v>1.5689999999999999E-2</v>
      </c>
      <c r="D22" s="1">
        <v>-9.8999999999999999E-4</v>
      </c>
      <c r="E22" s="1"/>
      <c r="F22" s="1"/>
      <c r="G22" s="1"/>
      <c r="H22" s="1"/>
      <c r="I22" s="1"/>
    </row>
    <row r="23" spans="1:9">
      <c r="A23" s="1"/>
      <c r="B23" s="1">
        <v>-0.14646000000000001</v>
      </c>
      <c r="C23" s="1">
        <v>-0.11598</v>
      </c>
      <c r="D23" s="1">
        <v>7.2800000000000004E-2</v>
      </c>
      <c r="E23" s="1"/>
      <c r="F23" s="1"/>
      <c r="G23" s="1"/>
      <c r="H23" s="1"/>
      <c r="I23" s="1"/>
    </row>
    <row r="24" spans="1:9">
      <c r="A24" s="1"/>
      <c r="B24" s="1">
        <v>-3.8460000000000001E-2</v>
      </c>
      <c r="C24" s="1">
        <v>0</v>
      </c>
      <c r="D24" s="1">
        <v>-7.1399999999999996E-3</v>
      </c>
      <c r="E24" s="1"/>
      <c r="F24" s="1"/>
      <c r="G24" s="1"/>
      <c r="H24" s="1"/>
      <c r="I24" s="1"/>
    </row>
    <row r="25" spans="1:9">
      <c r="A25" s="1"/>
      <c r="B25" s="1">
        <v>9.2300000000000004E-3</v>
      </c>
      <c r="C25" s="1">
        <v>3.9469999999999998E-2</v>
      </c>
      <c r="D25" s="1">
        <v>-2.971E-2</v>
      </c>
      <c r="E25" s="1"/>
      <c r="F25" s="1"/>
      <c r="G25" s="1"/>
      <c r="H25" s="1"/>
      <c r="I25" s="1"/>
    </row>
    <row r="26" spans="1:9">
      <c r="A26" s="1"/>
      <c r="B26" s="1">
        <v>0.19511999999999999</v>
      </c>
      <c r="C26" s="1">
        <v>0.14751</v>
      </c>
      <c r="D26" s="1">
        <v>0.13011</v>
      </c>
      <c r="E26" s="1"/>
      <c r="F26" s="1"/>
      <c r="G26" s="1"/>
      <c r="H26" s="1"/>
      <c r="I26" s="1"/>
    </row>
    <row r="27" spans="1:9">
      <c r="A27" s="1"/>
      <c r="B27" s="1">
        <v>0.22194</v>
      </c>
      <c r="C27" s="1">
        <v>-3.6900000000000001E-3</v>
      </c>
      <c r="D27" s="1">
        <v>0.14474000000000001</v>
      </c>
      <c r="E27" s="1"/>
      <c r="F27" s="1"/>
      <c r="G27" s="1"/>
      <c r="H27" s="1"/>
      <c r="I27" s="1"/>
    </row>
    <row r="28" spans="1:9">
      <c r="A28" s="1"/>
      <c r="B28" s="1">
        <v>6.0539999999999997E-2</v>
      </c>
      <c r="C28" s="1">
        <v>-4.444E-2</v>
      </c>
      <c r="D28" s="1">
        <v>-6.6839999999999997E-2</v>
      </c>
      <c r="E28" s="1"/>
      <c r="F28" s="1"/>
      <c r="G28" s="1"/>
      <c r="H28" s="1"/>
      <c r="I28" s="1"/>
    </row>
    <row r="29" spans="1:9">
      <c r="A29" s="1"/>
      <c r="B29" s="1">
        <v>-0.12992000000000001</v>
      </c>
      <c r="C29" s="1">
        <v>6.5740000000000007E-2</v>
      </c>
      <c r="D29" s="1">
        <v>-1.5429999999999999E-2</v>
      </c>
      <c r="E29" s="1"/>
      <c r="F29" s="1"/>
      <c r="G29" s="1"/>
      <c r="H29" s="1"/>
      <c r="I29" s="1"/>
    </row>
    <row r="30" spans="1:9">
      <c r="A30" s="1"/>
      <c r="B30" s="1">
        <v>-3.1669999999999997E-2</v>
      </c>
      <c r="C30" s="1">
        <v>6.5689999999999998E-2</v>
      </c>
      <c r="D30" s="1">
        <v>0.11285000000000001</v>
      </c>
      <c r="E30" s="1"/>
      <c r="F30" s="1"/>
      <c r="G30" s="1"/>
      <c r="H30" s="1"/>
      <c r="I30" s="1"/>
    </row>
    <row r="31" spans="1:9">
      <c r="A31" s="1"/>
      <c r="B31" s="1">
        <v>-6.5420000000000006E-2</v>
      </c>
      <c r="C31" s="1">
        <v>0</v>
      </c>
      <c r="D31" s="1">
        <v>5.8590000000000003E-2</v>
      </c>
      <c r="E31" s="1"/>
      <c r="F31" s="1"/>
      <c r="G31" s="1"/>
      <c r="H31" s="1"/>
      <c r="I31" s="1"/>
    </row>
    <row r="32" spans="1:9">
      <c r="A32" s="1"/>
      <c r="B32" s="1">
        <v>0.14000000000000001</v>
      </c>
      <c r="C32" s="1">
        <v>-4.0960000000000003E-2</v>
      </c>
      <c r="D32" s="1">
        <v>-1.8669999999999999E-2</v>
      </c>
      <c r="E32" s="1"/>
      <c r="F32" s="1"/>
      <c r="G32" s="1"/>
      <c r="H32" s="1"/>
      <c r="I32" s="1"/>
    </row>
    <row r="33" spans="1:9">
      <c r="A33" s="1"/>
      <c r="B33" s="1">
        <v>4.8250000000000001E-2</v>
      </c>
      <c r="C33" s="1">
        <v>7.1679999999999994E-2</v>
      </c>
      <c r="D33" s="1">
        <v>-4.6199999999999998E-2</v>
      </c>
      <c r="E33" s="1"/>
      <c r="F33" s="1"/>
      <c r="G33" s="1"/>
      <c r="H33" s="1"/>
      <c r="I33" s="1"/>
    </row>
    <row r="34" spans="1:9">
      <c r="A34" s="1"/>
      <c r="B34" s="1">
        <v>-2.929E-2</v>
      </c>
      <c r="C34" s="1">
        <v>3.3400000000000001E-3</v>
      </c>
      <c r="D34" s="1">
        <v>-2.9059999999999999E-2</v>
      </c>
      <c r="E34" s="1"/>
      <c r="F34" s="1"/>
      <c r="G34" s="1"/>
      <c r="H34" s="1"/>
      <c r="I34" s="1"/>
    </row>
    <row r="35" spans="1:9">
      <c r="A35" s="1"/>
      <c r="B35" s="1">
        <v>0.13361999999999999</v>
      </c>
      <c r="C35" s="1">
        <v>1.3469999999999999E-2</v>
      </c>
      <c r="D35" s="1">
        <v>4.4119999999999999E-2</v>
      </c>
      <c r="E35" s="1"/>
      <c r="F35" s="1"/>
      <c r="G35" s="1"/>
      <c r="H35" s="1"/>
      <c r="I35" s="1"/>
    </row>
    <row r="36" spans="1:9">
      <c r="A36" s="1"/>
      <c r="B36" s="1">
        <v>2.8139999999999998E-2</v>
      </c>
      <c r="C36" s="1">
        <v>5.2810000000000003E-2</v>
      </c>
      <c r="D36" s="1">
        <v>3.3799999999999997E-2</v>
      </c>
      <c r="E36" s="1"/>
      <c r="F36" s="1"/>
      <c r="G36" s="1"/>
      <c r="H36" s="1"/>
      <c r="I36" s="1"/>
    </row>
    <row r="37" spans="1:9">
      <c r="A37" s="1"/>
      <c r="B37" s="1">
        <v>5.926E-2</v>
      </c>
      <c r="C37" s="1">
        <v>2.1940000000000001E-2</v>
      </c>
      <c r="D37" s="1">
        <v>7.0300000000000001E-2</v>
      </c>
      <c r="E37" s="1"/>
      <c r="F37" s="1"/>
      <c r="G37" s="1"/>
      <c r="H37" s="1"/>
      <c r="I37" s="1"/>
    </row>
    <row r="38" spans="1:9">
      <c r="A38" s="1"/>
      <c r="B38" s="1">
        <v>0.21678</v>
      </c>
      <c r="C38" s="1">
        <v>2.1600000000000001E-2</v>
      </c>
      <c r="D38" s="1">
        <v>-5.1000000000000004E-3</v>
      </c>
      <c r="E38" s="1"/>
      <c r="F38" s="1"/>
      <c r="G38" s="1"/>
      <c r="H38" s="1"/>
      <c r="I38" s="1"/>
    </row>
    <row r="39" spans="1:9">
      <c r="A39" s="1"/>
      <c r="B39" s="1">
        <v>0.22816</v>
      </c>
      <c r="C39" s="1">
        <v>9.0399999999999994E-3</v>
      </c>
      <c r="D39" s="1">
        <v>-2.5600000000000002E-3</v>
      </c>
      <c r="E39" s="1"/>
      <c r="F39" s="1"/>
      <c r="G39" s="1"/>
      <c r="H39" s="1"/>
      <c r="I39" s="1"/>
    </row>
    <row r="40" spans="1:9">
      <c r="A40" s="1"/>
      <c r="B40" s="1">
        <v>9.1329999999999995E-2</v>
      </c>
      <c r="C40" s="1">
        <v>-4.7759999999999997E-2</v>
      </c>
      <c r="D40" s="1">
        <v>4.3189999999999999E-2</v>
      </c>
      <c r="E40" s="1"/>
      <c r="F40" s="1"/>
      <c r="G40" s="1"/>
      <c r="H40" s="1"/>
      <c r="I40" s="1"/>
    </row>
    <row r="41" spans="1:9">
      <c r="A41" s="1"/>
      <c r="B41" s="1">
        <v>-1.2880000000000001E-2</v>
      </c>
      <c r="C41" s="1">
        <v>7.85E-2</v>
      </c>
      <c r="D41" s="1">
        <v>4.444E-2</v>
      </c>
      <c r="E41" s="1"/>
      <c r="F41" s="1"/>
      <c r="G41" s="1"/>
      <c r="H41" s="1"/>
      <c r="I41" s="1"/>
    </row>
    <row r="42" spans="1:9">
      <c r="A42" s="1"/>
      <c r="B42" s="1">
        <v>-0.17196</v>
      </c>
      <c r="C42" s="1">
        <v>-0.12245</v>
      </c>
      <c r="D42" s="1">
        <v>-8.9829999999999993E-2</v>
      </c>
      <c r="E42" s="1"/>
      <c r="F42" s="1"/>
      <c r="G42" s="1"/>
      <c r="H42" s="1"/>
      <c r="I42" s="1"/>
    </row>
    <row r="43" spans="1:9">
      <c r="A43" s="1"/>
      <c r="B43" s="1">
        <v>0.16556999999999999</v>
      </c>
      <c r="C43" s="1">
        <v>-3.6540000000000003E-2</v>
      </c>
      <c r="D43" s="1">
        <v>3.3770000000000001E-2</v>
      </c>
      <c r="E43" s="1"/>
      <c r="F43" s="1"/>
      <c r="G43" s="1"/>
      <c r="H43" s="1"/>
      <c r="I43" s="1"/>
    </row>
    <row r="44" spans="1:9">
      <c r="A44" s="1"/>
      <c r="B44" s="1">
        <v>-7.8899999999999994E-3</v>
      </c>
      <c r="C44" s="1">
        <v>2.5100000000000001E-2</v>
      </c>
      <c r="D44" s="1">
        <v>-1.04E-2</v>
      </c>
      <c r="E44" s="1"/>
      <c r="F44" s="1"/>
      <c r="G44" s="1"/>
      <c r="H44" s="1"/>
      <c r="I44" s="1"/>
    </row>
    <row r="45" spans="1:9">
      <c r="A45" s="1"/>
      <c r="B45" s="1">
        <v>-4.9090000000000002E-2</v>
      </c>
      <c r="C45" s="1">
        <v>1.014E-2</v>
      </c>
      <c r="D45" s="1">
        <v>4.8349999999999997E-2</v>
      </c>
      <c r="E45" s="1"/>
      <c r="F45" s="1"/>
      <c r="G45" s="1"/>
      <c r="H45" s="1"/>
      <c r="I45" s="1"/>
    </row>
    <row r="46" spans="1:9">
      <c r="A46" s="1"/>
      <c r="B46" s="1">
        <v>0.22967000000000001</v>
      </c>
      <c r="C46" s="1">
        <v>5.3510000000000002E-2</v>
      </c>
      <c r="D46" s="1">
        <v>4.5780000000000001E-2</v>
      </c>
      <c r="E46" s="1"/>
      <c r="F46" s="1"/>
      <c r="G46" s="1"/>
      <c r="H46" s="1"/>
      <c r="I46" s="1"/>
    </row>
    <row r="47" spans="1:9">
      <c r="A47" s="1"/>
      <c r="B47" s="1">
        <v>0.10117</v>
      </c>
      <c r="C47" s="1">
        <v>8.8999999999999995E-4</v>
      </c>
      <c r="D47" s="1">
        <v>-3.4880000000000001E-2</v>
      </c>
      <c r="E47" s="1"/>
      <c r="F47" s="1"/>
      <c r="G47" s="1"/>
      <c r="H47" s="1"/>
      <c r="I47" s="1"/>
    </row>
    <row r="48" spans="1:9">
      <c r="A48" s="1"/>
      <c r="B48" s="1">
        <v>-0.1053</v>
      </c>
      <c r="C48" s="1">
        <v>6.3699999999999998E-3</v>
      </c>
      <c r="D48" s="1">
        <v>0.11083999999999999</v>
      </c>
      <c r="E48" s="1"/>
      <c r="F48" s="1"/>
      <c r="G48" s="1"/>
      <c r="H48" s="1"/>
      <c r="I48" s="1"/>
    </row>
    <row r="49" spans="1:9">
      <c r="A49" s="1"/>
      <c r="B49" s="1">
        <v>-2.767E-2</v>
      </c>
      <c r="C49" s="1">
        <v>1.899E-2</v>
      </c>
      <c r="D49" s="1">
        <v>1.9220000000000001E-2</v>
      </c>
      <c r="E49" s="1"/>
      <c r="F49" s="1"/>
      <c r="G49" s="1"/>
      <c r="H49" s="1"/>
      <c r="I49" s="1"/>
    </row>
    <row r="50" spans="1:9">
      <c r="A50" s="1"/>
      <c r="B50" s="1">
        <v>8.1300000000000001E-3</v>
      </c>
      <c r="C50" s="1">
        <v>1.95E-2</v>
      </c>
      <c r="D50" s="1">
        <v>-2.7720000000000002E-2</v>
      </c>
      <c r="E50" s="1"/>
      <c r="F50" s="1"/>
      <c r="G50" s="1"/>
      <c r="H50" s="1"/>
      <c r="I50" s="1"/>
    </row>
    <row r="51" spans="1:9">
      <c r="A51" s="1"/>
      <c r="B51" s="1">
        <v>5.323E-2</v>
      </c>
      <c r="C51" s="1">
        <v>-1.223E-2</v>
      </c>
      <c r="D51" s="1">
        <v>6.5790000000000001E-2</v>
      </c>
      <c r="E51" s="1"/>
      <c r="F51" s="1"/>
      <c r="G51" s="1"/>
      <c r="H51" s="1"/>
      <c r="I51" s="1"/>
    </row>
    <row r="52" spans="1:9">
      <c r="A52" s="1"/>
      <c r="B52" s="1">
        <v>5.364E-2</v>
      </c>
      <c r="C52" s="1">
        <v>-3.0960000000000001E-2</v>
      </c>
      <c r="D52" s="1">
        <v>-2.9E-4</v>
      </c>
      <c r="E52" s="1"/>
      <c r="F52" s="1"/>
      <c r="G52" s="1"/>
      <c r="H52" s="1"/>
      <c r="I52" s="1"/>
    </row>
    <row r="53" spans="1:9">
      <c r="A53" s="1"/>
      <c r="B53" s="1">
        <v>-1.8180000000000002E-2</v>
      </c>
      <c r="C53" s="1">
        <v>-5.9810000000000002E-2</v>
      </c>
      <c r="D53" s="1">
        <v>-6.1859999999999998E-2</v>
      </c>
      <c r="E53" s="1"/>
      <c r="F53" s="1"/>
      <c r="G53" s="1"/>
      <c r="H53" s="1"/>
      <c r="I53" s="1"/>
    </row>
    <row r="54" spans="1:9">
      <c r="A54" s="1"/>
      <c r="B54" s="1">
        <v>-9.5560000000000006E-2</v>
      </c>
      <c r="C54" s="1">
        <v>-3.4099999999999998E-3</v>
      </c>
      <c r="D54" s="1">
        <v>5.4949999999999999E-2</v>
      </c>
      <c r="E54" s="1"/>
      <c r="F54" s="1"/>
      <c r="G54" s="1"/>
      <c r="H54" s="1"/>
      <c r="I54" s="1"/>
    </row>
    <row r="55" spans="1:9">
      <c r="A55" s="1"/>
      <c r="B55" s="1">
        <v>2.4590000000000001E-2</v>
      </c>
      <c r="C55" s="1">
        <v>-1.37E-2</v>
      </c>
      <c r="D55" s="1">
        <v>3.3329999999999999E-2</v>
      </c>
      <c r="E55" s="1"/>
      <c r="F55" s="1"/>
      <c r="G55" s="1"/>
      <c r="H55" s="1"/>
      <c r="I55" s="1"/>
    </row>
    <row r="56" spans="1:9">
      <c r="A56" s="1"/>
      <c r="B56" s="1">
        <v>-6.4000000000000001E-2</v>
      </c>
      <c r="C56" s="1">
        <v>-0.14430999999999999</v>
      </c>
      <c r="D56" s="1">
        <v>-6.6610000000000003E-2</v>
      </c>
      <c r="E56" s="1"/>
      <c r="F56" s="1"/>
      <c r="G56" s="1"/>
      <c r="H56" s="1"/>
      <c r="I56" s="1"/>
    </row>
    <row r="57" spans="1:9">
      <c r="A57" s="1"/>
      <c r="B57" s="1">
        <v>1.393E-2</v>
      </c>
      <c r="C57" s="1">
        <v>-4.0800000000000003E-3</v>
      </c>
      <c r="D57" s="1">
        <v>-6.0609999999999997E-2</v>
      </c>
      <c r="E57" s="1"/>
      <c r="F57" s="1"/>
      <c r="G57" s="1"/>
      <c r="H57" s="1"/>
      <c r="I57" s="1"/>
    </row>
    <row r="58" spans="1:9">
      <c r="A58" s="1"/>
      <c r="B58" s="1">
        <v>0.10970000000000001</v>
      </c>
      <c r="C58" s="1">
        <v>8.6069999999999994E-2</v>
      </c>
      <c r="D58" s="1">
        <v>4.369E-2</v>
      </c>
      <c r="E58" s="1"/>
      <c r="F58" s="1"/>
      <c r="G58" s="1"/>
      <c r="H58" s="1"/>
      <c r="I58" s="1"/>
    </row>
    <row r="59" spans="1:9">
      <c r="A59" s="1"/>
      <c r="B59" s="1">
        <v>-6.4640000000000003E-2</v>
      </c>
      <c r="C59" s="1">
        <v>5.4299999999999999E-3</v>
      </c>
      <c r="D59" s="1">
        <v>-6.6369999999999998E-2</v>
      </c>
      <c r="E59" s="1"/>
      <c r="F59" s="1"/>
      <c r="G59" s="1"/>
      <c r="H59" s="1"/>
      <c r="I59" s="1"/>
    </row>
    <row r="60" spans="1:9">
      <c r="A60" s="1"/>
      <c r="B60" s="1">
        <v>1.1140000000000001E-2</v>
      </c>
      <c r="C60" s="1">
        <v>5.6599999999999998E-2</v>
      </c>
      <c r="D60" s="1">
        <v>9.4789999999999999E-2</v>
      </c>
      <c r="E60" s="1"/>
      <c r="F60" s="1"/>
      <c r="G60" s="1"/>
      <c r="H60" s="1"/>
      <c r="I60" s="1"/>
    </row>
    <row r="61" spans="1:9">
      <c r="A61" s="1"/>
      <c r="B61" s="1">
        <v>1.61E-2</v>
      </c>
      <c r="C61" s="1">
        <v>7.1399999999999996E-3</v>
      </c>
      <c r="D61" s="1">
        <v>-1.524E-2</v>
      </c>
      <c r="E61" s="1"/>
      <c r="F61" s="1"/>
      <c r="G61" s="1"/>
      <c r="H61" s="1"/>
      <c r="I61" s="1"/>
    </row>
    <row r="62" spans="1:9">
      <c r="A62" s="3" t="s">
        <v>3</v>
      </c>
      <c r="B62" s="1">
        <f>COUNT(B3:B61)</f>
        <v>59</v>
      </c>
      <c r="C62" s="1">
        <f>COUNT(C3:C61)</f>
        <v>59</v>
      </c>
      <c r="D62" s="1">
        <f>COUNT(D3:D61)</f>
        <v>59</v>
      </c>
      <c r="E62" s="3" t="s">
        <v>4</v>
      </c>
      <c r="F62" s="3" t="s">
        <v>5</v>
      </c>
      <c r="G62" s="1"/>
      <c r="H62" s="1"/>
      <c r="I62" s="1"/>
    </row>
    <row r="63" spans="1:9">
      <c r="A63" s="3" t="s">
        <v>6</v>
      </c>
      <c r="B63" s="1">
        <f>AVERAGE(B3:B61)</f>
        <v>2.7881016949152529E-2</v>
      </c>
      <c r="C63" s="1">
        <f>AVERAGE(C3:C61)</f>
        <v>1.1759152542372881E-2</v>
      </c>
      <c r="D63" s="1">
        <f>AVERAGE(D3:D61)</f>
        <v>1.1275932203389828E-2</v>
      </c>
      <c r="E63" s="1">
        <f>MIN(B63:D63)</f>
        <v>1.1275932203389828E-2</v>
      </c>
      <c r="F63" s="1">
        <f>MAX(B63:D63)</f>
        <v>2.7881016949152529E-2</v>
      </c>
      <c r="G63" s="1"/>
      <c r="H63" s="1"/>
      <c r="I63" s="1"/>
    </row>
    <row r="64" spans="1:9">
      <c r="A64" s="3" t="s">
        <v>7</v>
      </c>
      <c r="B64" s="1">
        <f>STDEV(B3:B61)</f>
        <v>0.10652533201552085</v>
      </c>
      <c r="C64" s="1">
        <f>STDEV(C3:C61)</f>
        <v>6.261375353728646E-2</v>
      </c>
      <c r="D64" s="1">
        <f>STDEV(D3:D61)</f>
        <v>6.4519928146234973E-2</v>
      </c>
      <c r="E64" s="1"/>
      <c r="F64" s="1"/>
      <c r="G64" s="1"/>
      <c r="H64" s="1"/>
      <c r="I64" s="1"/>
    </row>
    <row r="65" spans="1:9">
      <c r="A65" s="1"/>
      <c r="B65" s="1"/>
      <c r="C65" s="1"/>
      <c r="D65" s="1"/>
      <c r="E65" s="1"/>
      <c r="F65" s="1"/>
      <c r="G65" s="1"/>
      <c r="H65" s="1"/>
      <c r="I65" s="1"/>
    </row>
    <row r="66" spans="1:9" ht="17.25" thickBot="1">
      <c r="A66" s="3" t="s">
        <v>8</v>
      </c>
      <c r="B66" s="1"/>
      <c r="C66" s="1"/>
      <c r="D66" s="1"/>
      <c r="E66" s="1"/>
      <c r="F66" s="1"/>
      <c r="G66" s="1"/>
      <c r="H66" s="1"/>
      <c r="I66" s="1"/>
    </row>
    <row r="67" spans="1:9">
      <c r="A67" s="1"/>
      <c r="B67" s="4"/>
      <c r="C67" s="4" t="s">
        <v>9</v>
      </c>
      <c r="D67" s="4" t="s">
        <v>10</v>
      </c>
      <c r="E67" s="4" t="s">
        <v>11</v>
      </c>
      <c r="F67" s="1"/>
      <c r="G67" s="1"/>
      <c r="H67" s="1"/>
      <c r="I67" s="1"/>
    </row>
    <row r="68" spans="1:9">
      <c r="A68" s="1"/>
      <c r="B68" s="5" t="s">
        <v>9</v>
      </c>
      <c r="C68" s="5">
        <f>VAR($B$3:$B$61)</f>
        <v>1.1347646361016952E-2</v>
      </c>
      <c r="D68" s="5">
        <f>C69</f>
        <v>1.9133659681180592E-3</v>
      </c>
      <c r="E68" s="5">
        <f>C70</f>
        <v>2.4489737007597897E-3</v>
      </c>
      <c r="F68" s="1"/>
      <c r="G68" s="1"/>
      <c r="H68" s="1"/>
      <c r="I68" s="1"/>
    </row>
    <row r="69" spans="1:9">
      <c r="A69" s="1"/>
      <c r="B69" s="5" t="s">
        <v>10</v>
      </c>
      <c r="C69" s="5">
        <v>1.9133659681180592E-3</v>
      </c>
      <c r="D69" s="5">
        <f>VAR($C$3:$C$61)</f>
        <v>3.920482132028052E-3</v>
      </c>
      <c r="E69" s="5">
        <f>D70</f>
        <v>1.9753524102863814E-3</v>
      </c>
      <c r="F69" s="1"/>
      <c r="G69" s="1"/>
      <c r="H69" s="1"/>
      <c r="I69" s="1"/>
    </row>
    <row r="70" spans="1:9" ht="17.25" thickBot="1">
      <c r="A70" s="1"/>
      <c r="B70" s="6" t="s">
        <v>11</v>
      </c>
      <c r="C70" s="6">
        <v>2.4489737007597897E-3</v>
      </c>
      <c r="D70" s="6">
        <v>1.9753524102863814E-3</v>
      </c>
      <c r="E70" s="6">
        <f>VAR($D$3:$D$61)</f>
        <v>4.1628211279953241E-3</v>
      </c>
      <c r="F70" s="1"/>
      <c r="G70" s="1"/>
      <c r="H70" s="1"/>
      <c r="I70" s="1"/>
    </row>
    <row r="71" spans="1:9">
      <c r="A71" s="1"/>
      <c r="B71" s="1"/>
      <c r="C71" s="1"/>
      <c r="D71" s="1"/>
      <c r="E71" s="1"/>
      <c r="F71" s="1"/>
      <c r="G71" s="1"/>
      <c r="H71" s="1"/>
      <c r="I71" s="1"/>
    </row>
    <row r="72" spans="1:9">
      <c r="A72" s="3" t="s">
        <v>12</v>
      </c>
      <c r="B72" s="1"/>
      <c r="C72" s="1"/>
      <c r="D72" s="1"/>
      <c r="E72" s="1"/>
      <c r="F72" s="1"/>
      <c r="G72" s="1"/>
      <c r="H72" s="1"/>
      <c r="I72" s="1"/>
    </row>
    <row r="73" spans="1:9">
      <c r="A73" s="1"/>
      <c r="B73" s="3" t="s">
        <v>13</v>
      </c>
      <c r="C73" s="1"/>
      <c r="D73" s="1"/>
      <c r="E73" s="1"/>
      <c r="F73" s="1"/>
      <c r="G73" s="1"/>
      <c r="H73" s="1"/>
      <c r="I73" s="1"/>
    </row>
    <row r="74" spans="1:9">
      <c r="A74" s="1" t="s">
        <v>21</v>
      </c>
      <c r="B74" s="3" t="s">
        <v>14</v>
      </c>
      <c r="C74" s="3" t="s">
        <v>15</v>
      </c>
      <c r="D74" s="3" t="s">
        <v>16</v>
      </c>
      <c r="E74" s="3" t="s">
        <v>17</v>
      </c>
      <c r="F74" s="3" t="s">
        <v>20</v>
      </c>
      <c r="G74" s="3" t="s">
        <v>18</v>
      </c>
      <c r="H74" s="3" t="s">
        <v>19</v>
      </c>
      <c r="I74" s="1"/>
    </row>
    <row r="75" spans="1:9">
      <c r="A75" s="1">
        <v>2.7881016949152529E-2</v>
      </c>
      <c r="B75" s="1">
        <v>0.99999999575138132</v>
      </c>
      <c r="C75" s="1">
        <v>0</v>
      </c>
      <c r="D75" s="1">
        <v>0</v>
      </c>
      <c r="E75" s="1">
        <f t="array" ref="E75">MMULT(B75:D75,MMULT($C$68:$E$70,TRANSPOSE(B75:D75)))</f>
        <v>1.1347646264593308E-2</v>
      </c>
      <c r="F75">
        <f>E75^0.5</f>
        <v>0.10652533156293534</v>
      </c>
      <c r="G75" s="1">
        <f t="array" ref="G75">MMULT(B75:D75,TRANSPOSE(B63:D63))</f>
        <v>2.7881016830696718E-2</v>
      </c>
      <c r="H75" s="1">
        <f>SUM(B75:D75)</f>
        <v>0.99999999575138132</v>
      </c>
      <c r="I75" s="1"/>
    </row>
    <row r="76" spans="1:9">
      <c r="A76" s="1"/>
      <c r="B76" s="1"/>
      <c r="C76" s="1"/>
      <c r="D76" s="1"/>
      <c r="E76" s="1"/>
      <c r="F76" s="1"/>
      <c r="G76" s="1"/>
      <c r="H76" s="1"/>
      <c r="I76" s="1"/>
    </row>
    <row r="77" spans="1:9">
      <c r="A77" s="3" t="s">
        <v>18</v>
      </c>
      <c r="B77" s="1"/>
      <c r="C77" s="1"/>
      <c r="D77" s="1"/>
      <c r="E77" s="1"/>
      <c r="F77" s="1"/>
      <c r="G77" s="1"/>
      <c r="H77" s="1"/>
      <c r="I77" s="1"/>
    </row>
    <row r="78" spans="1:9">
      <c r="A78" s="1">
        <f>E63</f>
        <v>1.1275932203389828E-2</v>
      </c>
      <c r="B78" s="1"/>
      <c r="C78" s="1"/>
      <c r="D78" s="1"/>
      <c r="E78" s="1"/>
      <c r="F78" s="1"/>
      <c r="G78" s="1"/>
      <c r="H78" s="1"/>
      <c r="I78" s="1"/>
    </row>
    <row r="79" spans="1:9">
      <c r="A79" s="1">
        <f t="shared" ref="A79:A87" si="0">A78+($A$88-$A$78)/10</f>
        <v>1.2936440677966099E-2</v>
      </c>
      <c r="B79" s="1"/>
      <c r="C79" s="1"/>
      <c r="D79" s="1"/>
      <c r="E79" s="1"/>
      <c r="F79" s="1"/>
      <c r="G79" s="1"/>
      <c r="H79" s="1"/>
      <c r="I79" s="1"/>
    </row>
    <row r="80" spans="1:9">
      <c r="A80" s="1">
        <f t="shared" si="0"/>
        <v>1.4596949152542369E-2</v>
      </c>
      <c r="B80" s="1"/>
      <c r="C80" s="1"/>
      <c r="D80" s="1"/>
      <c r="E80" s="1"/>
      <c r="F80" s="1"/>
      <c r="G80" s="1"/>
      <c r="H80" s="1"/>
      <c r="I80" s="1"/>
    </row>
    <row r="81" spans="1:9">
      <c r="A81" s="1">
        <f t="shared" si="0"/>
        <v>1.6257457627118638E-2</v>
      </c>
      <c r="B81" s="1"/>
      <c r="C81" s="1"/>
      <c r="D81" s="1"/>
      <c r="E81" s="1"/>
      <c r="F81" s="1"/>
      <c r="G81" s="1"/>
      <c r="H81" s="1"/>
      <c r="I81" s="1"/>
    </row>
    <row r="82" spans="1:9">
      <c r="A82" s="1">
        <f t="shared" si="0"/>
        <v>1.7917966101694906E-2</v>
      </c>
      <c r="B82" s="1"/>
      <c r="C82" s="1"/>
      <c r="D82" s="1"/>
      <c r="E82" s="1"/>
      <c r="F82" s="1"/>
      <c r="G82" s="1"/>
      <c r="H82" s="1"/>
      <c r="I82" s="1"/>
    </row>
    <row r="83" spans="1:9">
      <c r="A83" s="1">
        <f t="shared" si="0"/>
        <v>1.9578474576271175E-2</v>
      </c>
      <c r="B83" s="1"/>
      <c r="C83" s="1"/>
      <c r="D83" s="1"/>
      <c r="E83" s="1"/>
      <c r="F83" s="1"/>
      <c r="G83" s="1"/>
      <c r="H83" s="1"/>
      <c r="I83" s="1"/>
    </row>
    <row r="84" spans="1:9">
      <c r="A84" s="1">
        <f t="shared" si="0"/>
        <v>2.1238983050847444E-2</v>
      </c>
      <c r="B84" s="1"/>
      <c r="C84" s="1"/>
      <c r="D84" s="1"/>
      <c r="E84" s="1"/>
      <c r="F84" s="1"/>
      <c r="G84" s="1"/>
      <c r="H84" s="1"/>
      <c r="I84" s="1"/>
    </row>
    <row r="85" spans="1:9">
      <c r="A85" s="1">
        <f t="shared" si="0"/>
        <v>2.2899491525423712E-2</v>
      </c>
      <c r="B85" s="1"/>
      <c r="C85" s="1"/>
      <c r="D85" s="1"/>
      <c r="E85" s="1"/>
      <c r="F85" s="1"/>
      <c r="G85" s="1"/>
      <c r="H85" s="1"/>
      <c r="I85" s="1"/>
    </row>
    <row r="86" spans="1:9">
      <c r="A86" s="1">
        <f t="shared" si="0"/>
        <v>2.4559999999999981E-2</v>
      </c>
      <c r="B86" s="1"/>
      <c r="C86" s="1"/>
      <c r="D86" s="1"/>
      <c r="E86" s="1"/>
      <c r="F86" s="1"/>
      <c r="G86" s="1"/>
      <c r="H86" s="1"/>
      <c r="I86" s="1"/>
    </row>
    <row r="87" spans="1:9">
      <c r="A87" s="1">
        <f t="shared" si="0"/>
        <v>2.622050847457625E-2</v>
      </c>
      <c r="B87" s="1"/>
      <c r="C87" s="1"/>
      <c r="D87" s="1"/>
      <c r="E87" s="1"/>
      <c r="F87" s="1"/>
      <c r="G87" s="1"/>
      <c r="H87" s="1"/>
      <c r="I87" s="1"/>
    </row>
    <row r="88" spans="1:9">
      <c r="A88" s="1">
        <f>F63</f>
        <v>2.7881016949152529E-2</v>
      </c>
      <c r="B88" s="1"/>
      <c r="C88" s="1"/>
      <c r="D88" s="1"/>
      <c r="E88" s="1"/>
      <c r="F88" s="1"/>
      <c r="G88" s="1"/>
      <c r="H88" s="1"/>
      <c r="I88" s="1"/>
    </row>
    <row r="89" spans="1:9">
      <c r="B89" s="3" t="s">
        <v>14</v>
      </c>
      <c r="C89" s="3" t="s">
        <v>15</v>
      </c>
      <c r="D89" s="3" t="s">
        <v>16</v>
      </c>
      <c r="E89" s="3" t="s">
        <v>17</v>
      </c>
      <c r="F89" s="3" t="s">
        <v>20</v>
      </c>
      <c r="G89" s="3" t="s">
        <v>18</v>
      </c>
      <c r="H89" s="3" t="s">
        <v>19</v>
      </c>
    </row>
    <row r="90" spans="1:9">
      <c r="B90" s="1">
        <v>0</v>
      </c>
      <c r="C90" s="1">
        <v>0</v>
      </c>
      <c r="D90" s="1">
        <v>0.99999999999999978</v>
      </c>
      <c r="E90" s="1">
        <v>4.1628211279953224E-3</v>
      </c>
      <c r="F90">
        <v>6.4519928146234959E-2</v>
      </c>
      <c r="G90" s="1">
        <v>1.1275932203389826E-2</v>
      </c>
      <c r="H90" s="1"/>
    </row>
    <row r="91" spans="1:9">
      <c r="B91">
        <v>8.5589397738600803E-2</v>
      </c>
      <c r="C91">
        <v>0.49519685868525176</v>
      </c>
      <c r="D91">
        <v>0.41921374357614744</v>
      </c>
      <c r="E91">
        <v>2.9341531370775638E-3</v>
      </c>
      <c r="F91">
        <v>5.4167823817073947E-2</v>
      </c>
      <c r="G91">
        <v>1.2936440600095314E-2</v>
      </c>
    </row>
    <row r="92" spans="1:9">
      <c r="B92">
        <v>0.18655550514794678</v>
      </c>
      <c r="C92">
        <v>0.46199830309110085</v>
      </c>
      <c r="D92">
        <v>0.3514461916782039</v>
      </c>
      <c r="E92">
        <v>3.0383133166292354E-3</v>
      </c>
      <c r="F92">
        <v>5.512089727706939E-2</v>
      </c>
      <c r="G92">
        <v>1.4596949151856265E-2</v>
      </c>
    </row>
    <row r="93" spans="1:9">
      <c r="B93">
        <v>0.28752170751009587</v>
      </c>
      <c r="C93">
        <v>0.42879975642099616</v>
      </c>
      <c r="D93">
        <v>0.28367853497920181</v>
      </c>
      <c r="E93">
        <v>3.3458069823046341E-3</v>
      </c>
      <c r="F93">
        <v>5.7842951016564101E-2</v>
      </c>
      <c r="G93">
        <v>1.625745927420752E-2</v>
      </c>
    </row>
    <row r="94" spans="1:9">
      <c r="B94">
        <v>0.38848781442932329</v>
      </c>
      <c r="C94">
        <v>0.39560119730948112</v>
      </c>
      <c r="D94">
        <v>0.21591098139373099</v>
      </c>
      <c r="E94">
        <v>3.8566335252417545E-3</v>
      </c>
      <c r="F94">
        <v>6.210179969406486E-2</v>
      </c>
      <c r="G94">
        <v>1.7917967751913799E-2</v>
      </c>
    </row>
    <row r="95" spans="1:9">
      <c r="B95">
        <v>0.48945381325685461</v>
      </c>
      <c r="C95">
        <v>0.36240267930076381</v>
      </c>
      <c r="D95">
        <v>0.14814350616986013</v>
      </c>
      <c r="E95">
        <v>4.5707923551512077E-3</v>
      </c>
      <c r="F95">
        <v>6.7607635331752347E-2</v>
      </c>
      <c r="G95">
        <v>1.9578474582847824E-2</v>
      </c>
    </row>
    <row r="96" spans="1:9">
      <c r="B96">
        <v>0.5904200196751167</v>
      </c>
      <c r="C96">
        <v>0.3292040941909784</v>
      </c>
      <c r="D96">
        <v>8.0375880037564087E-2</v>
      </c>
      <c r="E96">
        <v>5.4882858923917715E-3</v>
      </c>
      <c r="F96">
        <v>7.4082966276950407E-2</v>
      </c>
      <c r="G96">
        <v>2.1238984710937669E-2</v>
      </c>
    </row>
    <row r="97" spans="2:7">
      <c r="B97">
        <v>0.6913860113350937</v>
      </c>
      <c r="C97">
        <v>0.29600566332501865</v>
      </c>
      <c r="D97">
        <v>1.2608327539053121E-2</v>
      </c>
      <c r="E97">
        <v>6.6091104228976653E-3</v>
      </c>
      <c r="F97">
        <v>8.1296435487035135E-2</v>
      </c>
      <c r="G97">
        <v>2.289949149541437E-2</v>
      </c>
    </row>
    <row r="98" spans="2:7">
      <c r="B98">
        <v>0.79400540383397755</v>
      </c>
      <c r="C98">
        <v>0.20599459638316234</v>
      </c>
      <c r="D98">
        <v>0</v>
      </c>
      <c r="E98">
        <v>7.9463264344499535E-3</v>
      </c>
      <c r="F98">
        <v>8.9142169787648509E-2</v>
      </c>
      <c r="G98">
        <v>2.4560000003787965E-2</v>
      </c>
    </row>
    <row r="99" spans="2:7">
      <c r="B99">
        <v>0.89700280570604163</v>
      </c>
      <c r="C99">
        <v>0.10299719315596183</v>
      </c>
      <c r="D99">
        <v>0</v>
      </c>
      <c r="E99">
        <v>9.5256126982044467E-3</v>
      </c>
      <c r="F99">
        <v>9.7599245377228444E-2</v>
      </c>
      <c r="G99">
        <v>2.622051013508472E-2</v>
      </c>
    </row>
    <row r="100" spans="2:7">
      <c r="B100">
        <v>0.99999999575138132</v>
      </c>
      <c r="C100">
        <v>0</v>
      </c>
      <c r="D100">
        <v>0</v>
      </c>
      <c r="E100">
        <v>1.1347646264593308E-2</v>
      </c>
      <c r="F100">
        <v>0.10652533156293534</v>
      </c>
      <c r="G100">
        <v>2.7881016830696718E-2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pcuser</dc:creator>
  <cp:lastModifiedBy>user</cp:lastModifiedBy>
  <dcterms:created xsi:type="dcterms:W3CDTF">2015-11-16T06:18:24Z</dcterms:created>
  <dcterms:modified xsi:type="dcterms:W3CDTF">2021-10-12T00:42:08Z</dcterms:modified>
</cp:coreProperties>
</file>