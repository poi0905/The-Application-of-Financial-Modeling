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dfg\OneDrive - g.ntu.edu.tw\NTU\110-1\110-1財務模型程式應用\20211123\"/>
    </mc:Choice>
  </mc:AlternateContent>
  <xr:revisionPtr revIDLastSave="92" documentId="14_{688883A9-7296-4602-8E1B-51BBB4791429}" xr6:coauthVersionLast="36" xr6:coauthVersionMax="36" xr10:uidLastSave="{1008725E-BA96-4BA9-A61C-E224A8B66220}"/>
  <bookViews>
    <workbookView xWindow="600" yWindow="108" windowWidth="8460" windowHeight="4500" activeTab="3" xr2:uid="{00000000-000D-0000-FFFF-FFFF00000000}"/>
  </bookViews>
  <sheets>
    <sheet name="WACC" sheetId="1" r:id="rId1"/>
    <sheet name="Chart1" sheetId="4" r:id="rId2"/>
    <sheet name="Operation leverage" sheetId="2" r:id="rId3"/>
    <sheet name="Capital structure" sheetId="3" r:id="rId4"/>
  </sheets>
  <definedNames>
    <definedName name="FCF">#REF!</definedName>
    <definedName name="i">#REF!</definedName>
    <definedName name="Ke_U">#REF!</definedName>
    <definedName name="t_c">#REF!</definedName>
    <definedName name="t_d">#REF!</definedName>
    <definedName name="t_e">#REF!</definedName>
  </definedNames>
  <calcPr calcId="191029"/>
</workbook>
</file>

<file path=xl/calcChain.xml><?xml version="1.0" encoding="utf-8"?>
<calcChain xmlns="http://schemas.openxmlformats.org/spreadsheetml/2006/main">
  <c r="I29" i="3" l="1"/>
  <c r="O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H9" i="3" a="1"/>
  <c r="H9" i="3" s="1"/>
  <c r="H8" i="3" a="1"/>
  <c r="H8" i="3"/>
  <c r="H3" i="3" l="1"/>
  <c r="F3" i="3"/>
  <c r="E4" i="3"/>
  <c r="E5" i="3"/>
  <c r="E6" i="3"/>
  <c r="E7" i="3"/>
  <c r="F7" i="3" s="1"/>
  <c r="G7" i="3" s="1"/>
  <c r="H7" i="3" s="1"/>
  <c r="E3" i="3"/>
  <c r="G3" i="3" s="1"/>
  <c r="F5" i="3"/>
  <c r="G5" i="3" s="1"/>
  <c r="H5" i="3" s="1"/>
  <c r="F6" i="3"/>
  <c r="G6" i="3" s="1"/>
  <c r="H6" i="3" s="1"/>
  <c r="L20" i="2"/>
  <c r="F4" i="3" l="1"/>
  <c r="G4" i="3" s="1"/>
  <c r="H4" i="3" s="1"/>
  <c r="G6" i="2"/>
  <c r="J15" i="2" s="1"/>
  <c r="D6" i="2"/>
  <c r="B16" i="2" s="1"/>
  <c r="J17" i="2" l="1"/>
  <c r="J14" i="2"/>
  <c r="J18" i="2"/>
  <c r="J16" i="2"/>
  <c r="B15" i="2"/>
  <c r="B14" i="2"/>
  <c r="B18" i="2"/>
  <c r="B17" i="2"/>
  <c r="B29" i="1"/>
  <c r="C52" i="1" l="1"/>
  <c r="C51" i="1" s="1"/>
  <c r="C53" i="1" s="1"/>
  <c r="C66" i="3"/>
  <c r="D66" i="3"/>
  <c r="E66" i="3"/>
  <c r="F66" i="3"/>
  <c r="G66" i="3"/>
  <c r="B66" i="3"/>
  <c r="D41" i="3"/>
  <c r="D51" i="3"/>
  <c r="D42" i="3"/>
  <c r="D43" i="3" s="1"/>
  <c r="E41" i="3"/>
  <c r="E51" i="3" s="1"/>
  <c r="F41" i="3"/>
  <c r="F51" i="3"/>
  <c r="F42" i="3"/>
  <c r="F43" i="3" s="1"/>
  <c r="G41" i="3"/>
  <c r="G51" i="3" s="1"/>
  <c r="B41" i="3"/>
  <c r="B51" i="3"/>
  <c r="B42" i="3"/>
  <c r="B43" i="3" s="1"/>
  <c r="C41" i="3"/>
  <c r="C51" i="3" s="1"/>
  <c r="C55" i="3"/>
  <c r="C56" i="3"/>
  <c r="C57" i="3"/>
  <c r="C59" i="3" s="1"/>
  <c r="D55" i="3"/>
  <c r="D56" i="3"/>
  <c r="D57" i="3"/>
  <c r="D59" i="3" s="1"/>
  <c r="E55" i="3"/>
  <c r="E56" i="3"/>
  <c r="F55" i="3"/>
  <c r="F56" i="3"/>
  <c r="F57" i="3" s="1"/>
  <c r="F59" i="3" s="1"/>
  <c r="G55" i="3"/>
  <c r="G56" i="3"/>
  <c r="B55" i="3"/>
  <c r="B56" i="3"/>
  <c r="C62" i="3"/>
  <c r="B13" i="3"/>
  <c r="P1" i="3" s="1"/>
  <c r="G7" i="2"/>
  <c r="G10" i="2"/>
  <c r="D7" i="2"/>
  <c r="E21" i="2" s="1"/>
  <c r="F21" i="2" s="1"/>
  <c r="D10" i="2"/>
  <c r="B44" i="1"/>
  <c r="B51" i="1" s="1"/>
  <c r="B25" i="1"/>
  <c r="B26" i="1" s="1"/>
  <c r="C25" i="1"/>
  <c r="C26" i="1" s="1"/>
  <c r="B28" i="1" s="1"/>
  <c r="B30" i="1" s="1"/>
  <c r="B35" i="1" s="1"/>
  <c r="B37" i="1" s="1"/>
  <c r="B39" i="1" s="1"/>
  <c r="B52" i="1" s="1"/>
  <c r="E52" i="1" s="1"/>
  <c r="E25" i="1"/>
  <c r="E26" i="1" s="1"/>
  <c r="B13" i="1"/>
  <c r="E21" i="1"/>
  <c r="E22" i="1"/>
  <c r="C21" i="1"/>
  <c r="C22" i="1" s="1"/>
  <c r="B21" i="1"/>
  <c r="B22" i="1" s="1"/>
  <c r="B15" i="3" l="1"/>
  <c r="F22" i="2"/>
  <c r="E20" i="2"/>
  <c r="L21" i="2"/>
  <c r="M21" i="2" s="1"/>
  <c r="M22" i="2" s="1"/>
  <c r="K18" i="2"/>
  <c r="L18" i="2" s="1"/>
  <c r="M18" i="2" s="1"/>
  <c r="K17" i="2"/>
  <c r="L17" i="2" s="1"/>
  <c r="M17" i="2" s="1"/>
  <c r="K14" i="2"/>
  <c r="L14" i="2" s="1"/>
  <c r="M14" i="2" s="1"/>
  <c r="K15" i="2"/>
  <c r="L15" i="2" s="1"/>
  <c r="M15" i="2" s="1"/>
  <c r="K16" i="2"/>
  <c r="L16" i="2" s="1"/>
  <c r="M16" i="2" s="1"/>
  <c r="C16" i="2"/>
  <c r="D16" i="2" s="1"/>
  <c r="E16" i="2" s="1"/>
  <c r="C14" i="2"/>
  <c r="D14" i="2" s="1"/>
  <c r="E14" i="2" s="1"/>
  <c r="C15" i="2"/>
  <c r="D15" i="2" s="1"/>
  <c r="E15" i="2" s="1"/>
  <c r="C18" i="2"/>
  <c r="D18" i="2" s="1"/>
  <c r="E18" i="2" s="1"/>
  <c r="C17" i="2"/>
  <c r="D17" i="2" s="1"/>
  <c r="E17" i="2" s="1"/>
  <c r="G57" i="3"/>
  <c r="G59" i="3" s="1"/>
  <c r="E57" i="3"/>
  <c r="E59" i="3" s="1"/>
  <c r="B57" i="3"/>
  <c r="B59" i="3" s="1"/>
  <c r="F62" i="3"/>
  <c r="E51" i="1"/>
  <c r="E53" i="1"/>
  <c r="C56" i="1" s="1"/>
  <c r="F26" i="1"/>
  <c r="D62" i="3"/>
  <c r="C42" i="3"/>
  <c r="B44" i="3"/>
  <c r="B45" i="3" s="1"/>
  <c r="G42" i="3"/>
  <c r="F44" i="3"/>
  <c r="F45" i="3" s="1"/>
  <c r="F47" i="3" s="1"/>
  <c r="E42" i="3"/>
  <c r="D44" i="3"/>
  <c r="D45" i="3" s="1"/>
  <c r="B16" i="3" l="1"/>
  <c r="D21" i="3"/>
  <c r="E21" i="3" s="1"/>
  <c r="D24" i="3"/>
  <c r="E24" i="3" s="1"/>
  <c r="F24" i="3" s="1"/>
  <c r="G24" i="3" s="1"/>
  <c r="D22" i="3"/>
  <c r="E22" i="3" s="1"/>
  <c r="D20" i="3"/>
  <c r="E20" i="3" s="1"/>
  <c r="D23" i="3"/>
  <c r="E23" i="3" s="1"/>
  <c r="F23" i="3" s="1"/>
  <c r="G23" i="3" s="1"/>
  <c r="B62" i="3"/>
  <c r="E62" i="3"/>
  <c r="G62" i="3"/>
  <c r="G43" i="3"/>
  <c r="G44" i="3" s="1"/>
  <c r="G45" i="3" s="1"/>
  <c r="E43" i="3"/>
  <c r="E44" i="3" s="1"/>
  <c r="E45" i="3" s="1"/>
  <c r="B60" i="3"/>
  <c r="B52" i="3"/>
  <c r="B53" i="3" s="1"/>
  <c r="B63" i="3" s="1"/>
  <c r="B65" i="3" s="1"/>
  <c r="B67" i="3" s="1"/>
  <c r="F60" i="3"/>
  <c r="F52" i="3"/>
  <c r="F53" i="3" s="1"/>
  <c r="F63" i="3" s="1"/>
  <c r="F65" i="3" s="1"/>
  <c r="F67" i="3" s="1"/>
  <c r="B47" i="3"/>
  <c r="D60" i="3"/>
  <c r="D47" i="3"/>
  <c r="D52" i="3"/>
  <c r="D53" i="3" s="1"/>
  <c r="D63" i="3" s="1"/>
  <c r="D65" i="3" s="1"/>
  <c r="D67" i="3" s="1"/>
  <c r="C43" i="3"/>
  <c r="C44" i="3"/>
  <c r="C45" i="3" s="1"/>
  <c r="H24" i="3" l="1"/>
  <c r="H23" i="3"/>
  <c r="F22" i="3"/>
  <c r="G22" i="3" s="1"/>
  <c r="H22" i="3" s="1"/>
  <c r="F20" i="3"/>
  <c r="G20" i="3" s="1"/>
  <c r="H20" i="3" s="1"/>
  <c r="F21" i="3"/>
  <c r="G21" i="3" s="1"/>
  <c r="H21" i="3" s="1"/>
  <c r="C52" i="3"/>
  <c r="C53" i="3" s="1"/>
  <c r="C63" i="3" s="1"/>
  <c r="C65" i="3" s="1"/>
  <c r="C67" i="3" s="1"/>
  <c r="C60" i="3"/>
  <c r="C47" i="3"/>
  <c r="G52" i="3"/>
  <c r="G53" i="3" s="1"/>
  <c r="G63" i="3" s="1"/>
  <c r="G65" i="3" s="1"/>
  <c r="G67" i="3" s="1"/>
  <c r="G60" i="3"/>
  <c r="G47" i="3"/>
  <c r="E52" i="3"/>
  <c r="E53" i="3" s="1"/>
  <c r="E63" i="3" s="1"/>
  <c r="E65" i="3" s="1"/>
  <c r="E67" i="3" s="1"/>
  <c r="E60" i="3"/>
  <c r="E47" i="3"/>
  <c r="H25" i="3" l="1" a="1"/>
  <c r="H25" i="3" s="1"/>
  <c r="I33" i="3" l="1"/>
  <c r="I32" i="3"/>
  <c r="H26" i="3" a="1"/>
  <c r="H26" i="3" s="1"/>
  <c r="P2" i="3" s="1"/>
  <c r="J33" i="3" l="1"/>
  <c r="P61" i="3"/>
  <c r="P41" i="3"/>
  <c r="P3" i="3"/>
  <c r="P42" i="3"/>
  <c r="P36" i="3"/>
  <c r="P8" i="3"/>
  <c r="P35" i="3"/>
  <c r="P25" i="3"/>
  <c r="P33" i="3"/>
  <c r="P78" i="3"/>
  <c r="P21" i="3"/>
  <c r="P39" i="3"/>
  <c r="P96" i="3"/>
  <c r="P30" i="3"/>
  <c r="P72" i="3"/>
  <c r="P87" i="3"/>
  <c r="P94" i="3"/>
  <c r="P51" i="3"/>
  <c r="P68" i="3"/>
  <c r="P60" i="3"/>
  <c r="P70" i="3"/>
  <c r="P44" i="3"/>
  <c r="P15" i="3"/>
  <c r="P57" i="3"/>
  <c r="P37" i="3"/>
  <c r="P45" i="3"/>
  <c r="P79" i="3"/>
  <c r="P23" i="3"/>
  <c r="P13" i="3"/>
  <c r="P11" i="3"/>
  <c r="P66" i="3"/>
  <c r="P65" i="3"/>
  <c r="P54" i="3"/>
  <c r="P98" i="3"/>
  <c r="P50" i="3"/>
  <c r="P5" i="3"/>
  <c r="P80" i="3"/>
  <c r="P84" i="3"/>
  <c r="P82" i="3"/>
  <c r="P27" i="3"/>
  <c r="P48" i="3"/>
  <c r="P69" i="3"/>
  <c r="P32" i="3"/>
  <c r="P86" i="3"/>
  <c r="P24" i="3"/>
  <c r="P100" i="3"/>
  <c r="P58" i="3"/>
  <c r="P9" i="3"/>
  <c r="P56" i="3"/>
  <c r="P67" i="3"/>
  <c r="P18" i="3"/>
  <c r="P74" i="3"/>
  <c r="P12" i="3"/>
  <c r="P46" i="3"/>
  <c r="P20" i="3"/>
  <c r="P55" i="3"/>
  <c r="P6" i="3"/>
  <c r="P95" i="3"/>
  <c r="P29" i="3"/>
  <c r="P43" i="3"/>
  <c r="P26" i="3"/>
  <c r="P99" i="3"/>
  <c r="P88" i="3"/>
  <c r="P19" i="3"/>
  <c r="P31" i="3"/>
  <c r="P14" i="3"/>
  <c r="P63" i="3"/>
  <c r="P52" i="3"/>
  <c r="P77" i="3"/>
  <c r="P7" i="3"/>
  <c r="P97" i="3"/>
  <c r="P85" i="3"/>
  <c r="P28" i="3"/>
  <c r="P62" i="3"/>
  <c r="P102" i="3"/>
  <c r="P40" i="3"/>
  <c r="P73" i="3"/>
  <c r="P64" i="3"/>
  <c r="P101" i="3"/>
  <c r="P38" i="3"/>
  <c r="P4" i="3"/>
  <c r="P34" i="3"/>
  <c r="P91" i="3"/>
  <c r="P89" i="3"/>
  <c r="P83" i="3"/>
  <c r="P22" i="3"/>
  <c r="P17" i="3"/>
  <c r="P71" i="3"/>
  <c r="P10" i="3"/>
  <c r="P76" i="3"/>
  <c r="P59" i="3"/>
  <c r="P93" i="3"/>
  <c r="P53" i="3"/>
  <c r="P47" i="3"/>
  <c r="P49" i="3"/>
  <c r="P81" i="3"/>
  <c r="P75" i="3"/>
  <c r="P92" i="3"/>
  <c r="P90" i="3"/>
  <c r="P16" i="3"/>
</calcChain>
</file>

<file path=xl/sharedStrings.xml><?xml version="1.0" encoding="utf-8"?>
<sst xmlns="http://schemas.openxmlformats.org/spreadsheetml/2006/main" count="157" uniqueCount="117">
  <si>
    <t>Comparable 1</t>
  </si>
  <si>
    <t>Comparable 2</t>
  </si>
  <si>
    <t>Comparable 3</t>
  </si>
  <si>
    <t>Average</t>
  </si>
  <si>
    <t>Market value of equity</t>
  </si>
  <si>
    <t>Market (or book) value of debt</t>
  </si>
  <si>
    <t>Total value</t>
  </si>
  <si>
    <t>Equity-to-total-value ratio</t>
  </si>
  <si>
    <t>Equity beta</t>
  </si>
  <si>
    <t>Times equity ratio</t>
  </si>
  <si>
    <t>Asset beta</t>
  </si>
  <si>
    <t>Project asset beta (avg of comps)</t>
  </si>
  <si>
    <t>Target project equity ratio</t>
  </si>
  <si>
    <t>Project equity beta</t>
  </si>
  <si>
    <t xml:space="preserve">   = asset beta / target equity ratio</t>
  </si>
  <si>
    <t>Multiplied by market risk premium</t>
  </si>
  <si>
    <t xml:space="preserve">  = historical average excess return of S&amp;P 500 </t>
  </si>
  <si>
    <t>Equity risk premium</t>
  </si>
  <si>
    <t xml:space="preserve">        over 20-year Treasury bonds</t>
  </si>
  <si>
    <t>Plus risk-free rate</t>
  </si>
  <si>
    <t xml:space="preserve">  = yield on 20-year Treasury bonds (example)</t>
  </si>
  <si>
    <t>Cost of equity</t>
  </si>
  <si>
    <t>WEIGHTED AVERAGE COST OF CAPITAL</t>
  </si>
  <si>
    <t>Weighted</t>
  </si>
  <si>
    <t>Cost of</t>
  </si>
  <si>
    <t>Target</t>
  </si>
  <si>
    <t>Capital</t>
  </si>
  <si>
    <t>Weights</t>
  </si>
  <si>
    <t>Debt after-tax (@ 40% tax rate)</t>
  </si>
  <si>
    <t>Equity</t>
  </si>
  <si>
    <t>Weighted average cost of capital</t>
  </si>
  <si>
    <t>Ri</t>
    <phoneticPr fontId="2" type="noConversion"/>
  </si>
  <si>
    <t>Rm</t>
    <phoneticPr fontId="2" type="noConversion"/>
  </si>
  <si>
    <t>slope</t>
    <phoneticPr fontId="2" type="noConversion"/>
  </si>
  <si>
    <t>Approach 2: ESTIMATING PROJECT BETA FROM COMPARABLE COMPANIES</t>
    <phoneticPr fontId="2" type="noConversion"/>
  </si>
  <si>
    <t>Approach 1: Estimating Beta by using market model.</t>
    <phoneticPr fontId="2" type="noConversion"/>
  </si>
  <si>
    <t>Step 1: estimating beta</t>
    <phoneticPr fontId="2" type="noConversion"/>
  </si>
  <si>
    <t>Cost of equity</t>
    <phoneticPr fontId="2" type="noConversion"/>
  </si>
  <si>
    <t>Calculating cost of equity</t>
    <phoneticPr fontId="2" type="noConversion"/>
  </si>
  <si>
    <t>Cost of debt</t>
    <phoneticPr fontId="2" type="noConversion"/>
  </si>
  <si>
    <t>Kd</t>
    <phoneticPr fontId="2" type="noConversion"/>
  </si>
  <si>
    <t>Tax rate</t>
    <phoneticPr fontId="2" type="noConversion"/>
  </si>
  <si>
    <t>Kd(1-T)</t>
    <phoneticPr fontId="2" type="noConversion"/>
  </si>
  <si>
    <t>equity ratio</t>
    <phoneticPr fontId="2" type="noConversion"/>
  </si>
  <si>
    <t>Sensitivity analysis</t>
    <phoneticPr fontId="2" type="noConversion"/>
  </si>
  <si>
    <t>Break-even analysis</t>
    <phoneticPr fontId="2" type="noConversion"/>
  </si>
  <si>
    <t>Sales=costs</t>
    <phoneticPr fontId="2" type="noConversion"/>
  </si>
  <si>
    <t>P*Q=VC*Q+FC</t>
    <phoneticPr fontId="2" type="noConversion"/>
  </si>
  <si>
    <r>
      <t>Q</t>
    </r>
    <r>
      <rPr>
        <vertAlign val="subscript"/>
        <sz val="12"/>
        <rFont val="Times New Roman"/>
        <family val="1"/>
      </rPr>
      <t>BE</t>
    </r>
    <r>
      <rPr>
        <sz val="12"/>
        <rFont val="Times New Roman"/>
        <family val="1"/>
      </rPr>
      <t>=FC/(P-VC)</t>
    </r>
    <phoneticPr fontId="2" type="noConversion"/>
  </si>
  <si>
    <t>Price</t>
    <phoneticPr fontId="2" type="noConversion"/>
  </si>
  <si>
    <t>Variable costs</t>
    <phoneticPr fontId="2" type="noConversion"/>
  </si>
  <si>
    <t>Fixed costs</t>
    <phoneticPr fontId="2" type="noConversion"/>
  </si>
  <si>
    <t>Total Assets</t>
    <phoneticPr fontId="2" type="noConversion"/>
  </si>
  <si>
    <t>Project A</t>
    <phoneticPr fontId="2" type="noConversion"/>
  </si>
  <si>
    <t>Project B</t>
    <phoneticPr fontId="2" type="noConversion"/>
  </si>
  <si>
    <t>EBIT</t>
  </si>
  <si>
    <t>Unit sold</t>
    <phoneticPr fontId="2" type="noConversion"/>
  </si>
  <si>
    <t>Dollar sales</t>
    <phoneticPr fontId="2" type="noConversion"/>
  </si>
  <si>
    <t>Operating cost</t>
    <phoneticPr fontId="2" type="noConversion"/>
  </si>
  <si>
    <t>EBIT</t>
    <phoneticPr fontId="2" type="noConversion"/>
  </si>
  <si>
    <t>Net income</t>
    <phoneticPr fontId="2" type="noConversion"/>
  </si>
  <si>
    <t>ROE</t>
    <phoneticPr fontId="2" type="noConversion"/>
  </si>
  <si>
    <t>Project A</t>
    <phoneticPr fontId="2" type="noConversion"/>
  </si>
  <si>
    <t>Project B</t>
    <phoneticPr fontId="2" type="noConversion"/>
  </si>
  <si>
    <t>Project B with 0 debt</t>
    <phoneticPr fontId="2" type="noConversion"/>
  </si>
  <si>
    <t>Project with debt</t>
    <phoneticPr fontId="2" type="noConversion"/>
  </si>
  <si>
    <t>Debt ratio</t>
    <phoneticPr fontId="2" type="noConversion"/>
  </si>
  <si>
    <t>Assets</t>
    <phoneticPr fontId="2" type="noConversion"/>
  </si>
  <si>
    <t>Interest</t>
  </si>
  <si>
    <t>Interest</t>
    <phoneticPr fontId="2" type="noConversion"/>
  </si>
  <si>
    <t>Pre-tax income</t>
    <phoneticPr fontId="2" type="noConversion"/>
  </si>
  <si>
    <t>Taxes(40%)</t>
    <phoneticPr fontId="2" type="noConversion"/>
  </si>
  <si>
    <t>mean</t>
    <phoneticPr fontId="2" type="noConversion"/>
  </si>
  <si>
    <t>stdev</t>
    <phoneticPr fontId="2" type="noConversion"/>
  </si>
  <si>
    <t>debt</t>
    <phoneticPr fontId="2" type="noConversion"/>
  </si>
  <si>
    <t>Equity</t>
    <phoneticPr fontId="2" type="noConversion"/>
  </si>
  <si>
    <t>Interest rate</t>
    <phoneticPr fontId="2" type="noConversion"/>
  </si>
  <si>
    <t>State of nature</t>
    <phoneticPr fontId="2" type="noConversion"/>
  </si>
  <si>
    <t>Terrible</t>
    <phoneticPr fontId="2" type="noConversion"/>
  </si>
  <si>
    <t>Poor</t>
    <phoneticPr fontId="2" type="noConversion"/>
  </si>
  <si>
    <t>Normal</t>
    <phoneticPr fontId="2" type="noConversion"/>
  </si>
  <si>
    <t>Good</t>
    <phoneticPr fontId="2" type="noConversion"/>
  </si>
  <si>
    <t>Wonderful</t>
    <phoneticPr fontId="2" type="noConversion"/>
  </si>
  <si>
    <t>Prob.</t>
    <phoneticPr fontId="2" type="noConversion"/>
  </si>
  <si>
    <t>0 debt</t>
    <phoneticPr fontId="2" type="noConversion"/>
  </si>
  <si>
    <t>Debt in the capital structure</t>
  </si>
  <si>
    <t>Profit before taxes</t>
  </si>
  <si>
    <t>Taxes</t>
  </si>
  <si>
    <t>Profit after taxes</t>
  </si>
  <si>
    <t>Dividends</t>
  </si>
  <si>
    <t>Total payments to security holders</t>
  </si>
  <si>
    <t>Required return on debt</t>
  </si>
  <si>
    <t>Required return on equity</t>
  </si>
  <si>
    <t>Market value of debt</t>
  </si>
  <si>
    <t>Market value of the firm</t>
  </si>
  <si>
    <t>Book value of debt</t>
  </si>
  <si>
    <t>Book value of equity</t>
  </si>
  <si>
    <t>Book value of the firm</t>
  </si>
  <si>
    <t>Return on total capital</t>
  </si>
  <si>
    <t>Return on equity</t>
  </si>
  <si>
    <t>Book value debt ratio</t>
  </si>
  <si>
    <t>Market value debt ratio</t>
  </si>
  <si>
    <t>Free cash flow</t>
  </si>
  <si>
    <t>0-20@0.5</t>
    <phoneticPr fontId="2" type="noConversion"/>
  </si>
  <si>
    <t>0-3@0.1</t>
    <phoneticPr fontId="2" type="noConversion"/>
  </si>
  <si>
    <t>0-300000@5000</t>
    <phoneticPr fontId="2" type="noConversion"/>
  </si>
  <si>
    <t>0-100%@1%</t>
    <phoneticPr fontId="2" type="noConversion"/>
  </si>
  <si>
    <t>0-60%@5%</t>
    <phoneticPr fontId="2" type="noConversion"/>
  </si>
  <si>
    <t>x</t>
    <phoneticPr fontId="2" type="noConversion"/>
  </si>
  <si>
    <t>unit</t>
    <phoneticPr fontId="2" type="noConversion"/>
  </si>
  <si>
    <t>y</t>
    <phoneticPr fontId="2" type="noConversion"/>
  </si>
  <si>
    <t>sales</t>
    <phoneticPr fontId="2" type="noConversion"/>
  </si>
  <si>
    <t>cost</t>
    <phoneticPr fontId="2" type="noConversion"/>
  </si>
  <si>
    <t>intercept</t>
    <phoneticPr fontId="2" type="noConversion"/>
  </si>
  <si>
    <t>x</t>
    <phoneticPr fontId="2" type="noConversion"/>
  </si>
  <si>
    <t>y</t>
    <phoneticPr fontId="2" type="noConversion"/>
  </si>
  <si>
    <t>ROE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</si>
</sst>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76" formatCode="_(* #,##0_);_(* \(#,##0\);_(* &quot;-&quot;??_);_(@_)"/>
    <numFmt numFmtId="177" formatCode="_(* #,##0.0_);_(* \(#,##0.0\);_(* &quot;-&quot;??_);_(@_)"/>
    <numFmt numFmtId="178" formatCode="_(* #,##0.00_);_(* \(#,##0.00\);_(* &quot;-&quot;??_);_(@_)"/>
    <numFmt numFmtId="179" formatCode="0.0%"/>
    <numFmt numFmtId="180" formatCode="0.0"/>
  </numFmts>
  <fonts count="18" x14ac:knownFonts="1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name val="Times New Roman"/>
      <family val="1"/>
    </font>
    <font>
      <sz val="12"/>
      <color indexed="53"/>
      <name val="Times New Roman"/>
      <family val="1"/>
    </font>
    <font>
      <vertAlign val="subscript"/>
      <sz val="12"/>
      <name val="Times New Roman"/>
      <family val="1"/>
    </font>
    <font>
      <b/>
      <sz val="9"/>
      <name val="Times New Roman"/>
      <family val="1"/>
    </font>
    <font>
      <b/>
      <sz val="8"/>
      <name val="Times New Roman"/>
      <family val="1"/>
    </font>
    <font>
      <sz val="12"/>
      <color indexed="57"/>
      <name val="Times New Roman"/>
      <family val="1"/>
    </font>
    <font>
      <sz val="12"/>
      <color indexed="57"/>
      <name val="新細明體"/>
      <family val="1"/>
      <charset val="136"/>
    </font>
    <font>
      <sz val="10"/>
      <name val="新細明體"/>
      <family val="1"/>
      <charset val="136"/>
    </font>
    <font>
      <sz val="10"/>
      <color indexed="12"/>
      <name val="Times New Roman"/>
      <family val="1"/>
    </font>
    <font>
      <sz val="10"/>
      <name val="Times New Roman"/>
      <family val="1"/>
    </font>
    <font>
      <sz val="10"/>
      <color indexed="10"/>
      <name val="Times New Roman"/>
      <family val="1"/>
    </font>
    <font>
      <u val="singleAccounting"/>
      <sz val="10"/>
      <name val="Times New Roman"/>
      <family val="1"/>
    </font>
    <font>
      <u/>
      <sz val="10"/>
      <name val="Times New Roman"/>
      <family val="1"/>
    </font>
    <font>
      <sz val="10"/>
      <color indexed="46"/>
      <name val="Times New Roman"/>
      <family val="1"/>
    </font>
    <font>
      <b/>
      <sz val="10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7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9">
    <xf numFmtId="0" fontId="0" fillId="0" borderId="0" xfId="0"/>
    <xf numFmtId="9" fontId="0" fillId="0" borderId="0" xfId="0" applyNumberFormat="1"/>
    <xf numFmtId="10" fontId="0" fillId="0" borderId="0" xfId="0" applyNumberFormat="1"/>
    <xf numFmtId="0" fontId="3" fillId="0" borderId="0" xfId="0" applyFont="1"/>
    <xf numFmtId="9" fontId="0" fillId="0" borderId="0" xfId="2" applyFont="1"/>
    <xf numFmtId="10" fontId="0" fillId="0" borderId="0" xfId="2" applyNumberFormat="1" applyFont="1"/>
    <xf numFmtId="0" fontId="4" fillId="3" borderId="0" xfId="0" applyFont="1" applyFill="1"/>
    <xf numFmtId="0" fontId="0" fillId="3" borderId="0" xfId="0" applyFill="1"/>
    <xf numFmtId="180" fontId="0" fillId="0" borderId="0" xfId="0" applyNumberFormat="1"/>
    <xf numFmtId="0" fontId="6" fillId="0" borderId="0" xfId="0" applyFont="1"/>
    <xf numFmtId="0" fontId="7" fillId="0" borderId="0" xfId="0" applyFont="1"/>
    <xf numFmtId="0" fontId="3" fillId="0" borderId="0" xfId="0" quotePrefix="1" applyFont="1"/>
    <xf numFmtId="0" fontId="0" fillId="0" borderId="0" xfId="0" quotePrefix="1"/>
    <xf numFmtId="0" fontId="10" fillId="0" borderId="0" xfId="0" applyFont="1"/>
    <xf numFmtId="0" fontId="11" fillId="3" borderId="0" xfId="0" applyFont="1" applyFill="1"/>
    <xf numFmtId="0" fontId="12" fillId="0" borderId="0" xfId="0" applyFont="1"/>
    <xf numFmtId="0" fontId="13" fillId="2" borderId="5" xfId="0" applyFont="1" applyFill="1" applyBorder="1"/>
    <xf numFmtId="0" fontId="12" fillId="2" borderId="6" xfId="0" applyFont="1" applyFill="1" applyBorder="1"/>
    <xf numFmtId="0" fontId="12" fillId="2" borderId="7" xfId="0" applyFont="1" applyFill="1" applyBorder="1"/>
    <xf numFmtId="0" fontId="12" fillId="2" borderId="0" xfId="0" applyFont="1" applyFill="1" applyBorder="1"/>
    <xf numFmtId="0" fontId="12" fillId="0" borderId="1" xfId="0" applyFont="1" applyBorder="1"/>
    <xf numFmtId="0" fontId="12" fillId="0" borderId="0" xfId="0" applyFont="1" applyBorder="1"/>
    <xf numFmtId="0" fontId="13" fillId="2" borderId="2" xfId="0" applyFont="1" applyFill="1" applyBorder="1"/>
    <xf numFmtId="0" fontId="13" fillId="2" borderId="3" xfId="0" applyFont="1" applyFill="1" applyBorder="1"/>
    <xf numFmtId="0" fontId="13" fillId="2" borderId="4" xfId="0" applyFont="1" applyFill="1" applyBorder="1"/>
    <xf numFmtId="0" fontId="12" fillId="0" borderId="1" xfId="0" applyFont="1" applyBorder="1" applyAlignment="1">
      <alignment horizontal="center"/>
    </xf>
    <xf numFmtId="176" fontId="12" fillId="0" borderId="0" xfId="1" applyNumberFormat="1" applyFont="1"/>
    <xf numFmtId="177" fontId="12" fillId="0" borderId="0" xfId="1" applyNumberFormat="1" applyFont="1"/>
    <xf numFmtId="176" fontId="14" fillId="0" borderId="0" xfId="1" applyNumberFormat="1" applyFont="1"/>
    <xf numFmtId="176" fontId="12" fillId="0" borderId="0" xfId="0" applyNumberFormat="1" applyFont="1"/>
    <xf numFmtId="43" fontId="12" fillId="0" borderId="0" xfId="1" applyFont="1"/>
    <xf numFmtId="9" fontId="12" fillId="0" borderId="0" xfId="2" applyNumberFormat="1" applyFont="1"/>
    <xf numFmtId="178" fontId="12" fillId="0" borderId="0" xfId="1" applyNumberFormat="1" applyFont="1"/>
    <xf numFmtId="9" fontId="12" fillId="0" borderId="0" xfId="2" applyFont="1"/>
    <xf numFmtId="9" fontId="15" fillId="0" borderId="0" xfId="2" applyFont="1"/>
    <xf numFmtId="9" fontId="12" fillId="0" borderId="0" xfId="0" applyNumberFormat="1" applyFont="1"/>
    <xf numFmtId="0" fontId="16" fillId="4" borderId="0" xfId="0" applyFont="1" applyFill="1"/>
    <xf numFmtId="0" fontId="17" fillId="0" borderId="0" xfId="0" applyFont="1"/>
    <xf numFmtId="178" fontId="12" fillId="0" borderId="0" xfId="0" applyNumberFormat="1" applyFont="1"/>
    <xf numFmtId="10" fontId="15" fillId="0" borderId="0" xfId="2" applyNumberFormat="1" applyFont="1"/>
    <xf numFmtId="10" fontId="12" fillId="0" borderId="0" xfId="2" applyNumberFormat="1" applyFont="1"/>
    <xf numFmtId="10" fontId="12" fillId="0" borderId="0" xfId="0" applyNumberFormat="1" applyFont="1"/>
    <xf numFmtId="179" fontId="12" fillId="0" borderId="0" xfId="2" applyNumberFormat="1" applyFont="1"/>
    <xf numFmtId="178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center"/>
    </xf>
    <xf numFmtId="179" fontId="12" fillId="0" borderId="0" xfId="0" applyNumberFormat="1" applyFont="1"/>
    <xf numFmtId="0" fontId="9" fillId="0" borderId="0" xfId="0" applyFont="1" applyAlignment="1"/>
    <xf numFmtId="0" fontId="8" fillId="0" borderId="0" xfId="0" applyFont="1" applyAlignment="1">
      <alignment horizontal="center"/>
    </xf>
    <xf numFmtId="0" fontId="9" fillId="0" borderId="0" xfId="0" applyFont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3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5907473309608543"/>
          <c:y val="4.5685279187817257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title>
    <c:autoTitleDeleted val="0"/>
    <c:plotArea>
      <c:layout>
        <c:manualLayout>
          <c:layoutTarget val="inner"/>
          <c:xMode val="edge"/>
          <c:yMode val="edge"/>
          <c:x val="0.22419928825622776"/>
          <c:y val="0.25888324873096447"/>
          <c:w val="0.65480427046263345"/>
          <c:h val="0.53299492385786806"/>
        </c:manualLayout>
      </c:layout>
      <c:scatterChart>
        <c:scatterStyle val="lineMarker"/>
        <c:varyColors val="0"/>
        <c:ser>
          <c:idx val="1"/>
          <c:order val="0"/>
          <c:tx>
            <c:v>Cost</c:v>
          </c:tx>
          <c:spPr>
            <a:ln w="19050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WACC!$C$51:$C$53</c:f>
              <c:numCache>
                <c:formatCode>0.0%</c:formatCode>
                <c:ptCount val="3"/>
                <c:pt idx="0">
                  <c:v>0.69</c:v>
                </c:pt>
                <c:pt idx="1">
                  <c:v>0.31</c:v>
                </c:pt>
                <c:pt idx="2">
                  <c:v>1</c:v>
                </c:pt>
              </c:numCache>
            </c:numRef>
          </c:xVal>
          <c:yVal>
            <c:numRef>
              <c:f>WACC!$E$51:$E$53</c:f>
              <c:numCache>
                <c:formatCode>0.00%</c:formatCode>
                <c:ptCount val="3"/>
                <c:pt idx="0">
                  <c:v>3.7259999999999995E-2</c:v>
                </c:pt>
                <c:pt idx="1">
                  <c:v>6.7544444444444449E-2</c:v>
                </c:pt>
                <c:pt idx="2">
                  <c:v>0.10480444444444445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1E-4BEF-83BE-49D6E9083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754016"/>
        <c:axId val="111754576"/>
      </c:scatterChart>
      <c:valAx>
        <c:axId val="111754016"/>
        <c:scaling>
          <c:orientation val="minMax"/>
        </c:scaling>
        <c:delete val="0"/>
        <c:axPos val="b"/>
        <c:numFmt formatCode="0.0%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1754576"/>
        <c:crosses val="autoZero"/>
        <c:crossBetween val="midCat"/>
      </c:valAx>
      <c:valAx>
        <c:axId val="111754576"/>
        <c:scaling>
          <c:orientation val="minMax"/>
        </c:scaling>
        <c:delete val="0"/>
        <c:axPos val="l"/>
        <c:numFmt formatCode="0.00%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175401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80832751"/>
        <c:axId val="1715266335"/>
      </c:barChart>
      <c:catAx>
        <c:axId val="178083275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715266335"/>
        <c:crosses val="autoZero"/>
        <c:auto val="1"/>
        <c:lblAlgn val="ctr"/>
        <c:lblOffset val="100"/>
        <c:noMultiLvlLbl val="0"/>
      </c:catAx>
      <c:valAx>
        <c:axId val="17152663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780832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Project 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Dollar sales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'Operation leverage'!$A$14:$A$18</c:f>
              <c:numCache>
                <c:formatCode>General</c:formatCode>
                <c:ptCount val="5"/>
                <c:pt idx="0">
                  <c:v>0</c:v>
                </c:pt>
                <c:pt idx="1">
                  <c:v>40000</c:v>
                </c:pt>
                <c:pt idx="2">
                  <c:v>100000</c:v>
                </c:pt>
                <c:pt idx="3">
                  <c:v>160000</c:v>
                </c:pt>
                <c:pt idx="4">
                  <c:v>200000</c:v>
                </c:pt>
              </c:numCache>
            </c:numRef>
          </c:xVal>
          <c:yVal>
            <c:numRef>
              <c:f>'Operation leverage'!$B$14:$B$18</c:f>
              <c:numCache>
                <c:formatCode>General</c:formatCode>
                <c:ptCount val="5"/>
                <c:pt idx="0">
                  <c:v>0</c:v>
                </c:pt>
                <c:pt idx="1">
                  <c:v>360000</c:v>
                </c:pt>
                <c:pt idx="2">
                  <c:v>900000</c:v>
                </c:pt>
                <c:pt idx="3">
                  <c:v>1440000</c:v>
                </c:pt>
                <c:pt idx="4">
                  <c:v>1800000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E9-4101-A557-4130E35F062A}"/>
            </c:ext>
          </c:extLst>
        </c:ser>
        <c:ser>
          <c:idx val="1"/>
          <c:order val="1"/>
          <c:tx>
            <c:v>Operating Cost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'Operation leverage'!$A$14:$A$18</c:f>
              <c:numCache>
                <c:formatCode>General</c:formatCode>
                <c:ptCount val="5"/>
                <c:pt idx="0">
                  <c:v>0</c:v>
                </c:pt>
                <c:pt idx="1">
                  <c:v>40000</c:v>
                </c:pt>
                <c:pt idx="2">
                  <c:v>100000</c:v>
                </c:pt>
                <c:pt idx="3">
                  <c:v>160000</c:v>
                </c:pt>
                <c:pt idx="4">
                  <c:v>200000</c:v>
                </c:pt>
              </c:numCache>
            </c:numRef>
          </c:xVal>
          <c:yVal>
            <c:numRef>
              <c:f>'Operation leverage'!$C$14:$C$18</c:f>
              <c:numCache>
                <c:formatCode>General</c:formatCode>
                <c:ptCount val="5"/>
                <c:pt idx="0">
                  <c:v>265000</c:v>
                </c:pt>
                <c:pt idx="1">
                  <c:v>313000</c:v>
                </c:pt>
                <c:pt idx="2">
                  <c:v>385000</c:v>
                </c:pt>
                <c:pt idx="3">
                  <c:v>457000</c:v>
                </c:pt>
                <c:pt idx="4">
                  <c:v>505000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E9-4101-A557-4130E35F062A}"/>
            </c:ext>
          </c:extLst>
        </c:ser>
        <c:ser>
          <c:idx val="2"/>
          <c:order val="2"/>
          <c:tx>
            <c:strRef>
              <c:f>'Operation leverage'!$E$20</c:f>
              <c:strCache>
                <c:ptCount val="1"/>
                <c:pt idx="0">
                  <c:v>QBE=33974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466-4907-B4F9-7F81E78C9A5C}"/>
                </c:ext>
              </c:extLst>
            </c:dLbl>
            <c:dLbl>
              <c:idx val="1"/>
              <c:layout>
                <c:manualLayout>
                  <c:x val="8.2794055463249944E-2"/>
                  <c:y val="1.8495688829696211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466-4907-B4F9-7F81E78C9A5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'Operation leverage'!$E$21:$F$21</c:f>
              <c:numCache>
                <c:formatCode>General</c:formatCode>
                <c:ptCount val="2"/>
                <c:pt idx="0">
                  <c:v>33974.358974358976</c:v>
                </c:pt>
                <c:pt idx="1">
                  <c:v>33974.358974358976</c:v>
                </c:pt>
              </c:numCache>
            </c:numRef>
          </c:xVal>
          <c:yVal>
            <c:numRef>
              <c:f>'Operation leverage'!$E$22:$F$22</c:f>
              <c:numCache>
                <c:formatCode>General</c:formatCode>
                <c:ptCount val="2"/>
                <c:pt idx="0">
                  <c:v>0</c:v>
                </c:pt>
                <c:pt idx="1">
                  <c:v>305769.23076923081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66-4907-B4F9-7F81E78C9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1529632"/>
        <c:axId val="1133619872"/>
      </c:scatterChart>
      <c:valAx>
        <c:axId val="1131529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133619872"/>
        <c:crosses val="autoZero"/>
        <c:crossBetween val="midCat"/>
      </c:valAx>
      <c:valAx>
        <c:axId val="11336198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1315296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Project 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Dollar Sales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'Operation leverage'!$I$14:$I$18</c:f>
              <c:numCache>
                <c:formatCode>General</c:formatCode>
                <c:ptCount val="5"/>
                <c:pt idx="0">
                  <c:v>0</c:v>
                </c:pt>
                <c:pt idx="1">
                  <c:v>40000</c:v>
                </c:pt>
                <c:pt idx="2">
                  <c:v>100000</c:v>
                </c:pt>
                <c:pt idx="3">
                  <c:v>160000</c:v>
                </c:pt>
                <c:pt idx="4">
                  <c:v>200000</c:v>
                </c:pt>
              </c:numCache>
            </c:numRef>
          </c:xVal>
          <c:yVal>
            <c:numRef>
              <c:f>'Operation leverage'!$J$14:$J$18</c:f>
              <c:numCache>
                <c:formatCode>General</c:formatCode>
                <c:ptCount val="5"/>
                <c:pt idx="0">
                  <c:v>0</c:v>
                </c:pt>
                <c:pt idx="1">
                  <c:v>220000</c:v>
                </c:pt>
                <c:pt idx="2">
                  <c:v>550000</c:v>
                </c:pt>
                <c:pt idx="3">
                  <c:v>880000</c:v>
                </c:pt>
                <c:pt idx="4">
                  <c:v>1100000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8B1-47E1-A952-4A0642891CCF}"/>
            </c:ext>
          </c:extLst>
        </c:ser>
        <c:ser>
          <c:idx val="1"/>
          <c:order val="1"/>
          <c:tx>
            <c:v>Operating Cost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'Operation leverage'!$I$14:$I$18</c:f>
              <c:numCache>
                <c:formatCode>General</c:formatCode>
                <c:ptCount val="5"/>
                <c:pt idx="0">
                  <c:v>0</c:v>
                </c:pt>
                <c:pt idx="1">
                  <c:v>40000</c:v>
                </c:pt>
                <c:pt idx="2">
                  <c:v>100000</c:v>
                </c:pt>
                <c:pt idx="3">
                  <c:v>160000</c:v>
                </c:pt>
                <c:pt idx="4">
                  <c:v>200000</c:v>
                </c:pt>
              </c:numCache>
            </c:numRef>
          </c:xVal>
          <c:yVal>
            <c:numRef>
              <c:f>'Operation leverage'!$K$14:$K$18</c:f>
              <c:numCache>
                <c:formatCode>General</c:formatCode>
                <c:ptCount val="5"/>
                <c:pt idx="0">
                  <c:v>150000</c:v>
                </c:pt>
                <c:pt idx="1">
                  <c:v>206000</c:v>
                </c:pt>
                <c:pt idx="2">
                  <c:v>290000</c:v>
                </c:pt>
                <c:pt idx="3">
                  <c:v>374000</c:v>
                </c:pt>
                <c:pt idx="4">
                  <c:v>430000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8B1-47E1-A952-4A0642891CCF}"/>
            </c:ext>
          </c:extLst>
        </c:ser>
        <c:ser>
          <c:idx val="2"/>
          <c:order val="2"/>
          <c:tx>
            <c:strRef>
              <c:f>'Operation leverage'!$L$20</c:f>
              <c:strCache>
                <c:ptCount val="1"/>
                <c:pt idx="0">
                  <c:v>QBE=36585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39C-4D6C-8F2A-D9002EB2C58A}"/>
                </c:ext>
              </c:extLst>
            </c:dLbl>
            <c:dLbl>
              <c:idx val="1"/>
              <c:layout>
                <c:manualLayout>
                  <c:x val="-9.3252900007537137E-2"/>
                  <c:y val="-0.12096772821858011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39C-4D6C-8F2A-D9002EB2C58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'Operation leverage'!$L$21:$M$21</c:f>
              <c:numCache>
                <c:formatCode>General</c:formatCode>
                <c:ptCount val="2"/>
                <c:pt idx="0">
                  <c:v>36585.365853658543</c:v>
                </c:pt>
                <c:pt idx="1">
                  <c:v>36585.365853658543</c:v>
                </c:pt>
              </c:numCache>
            </c:numRef>
          </c:xVal>
          <c:yVal>
            <c:numRef>
              <c:f>'Operation leverage'!$L$22:$M$22</c:f>
              <c:numCache>
                <c:formatCode>General</c:formatCode>
                <c:ptCount val="2"/>
                <c:pt idx="0">
                  <c:v>0</c:v>
                </c:pt>
                <c:pt idx="1">
                  <c:v>201219.51219512199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9C-4D6C-8F2A-D9002EB2C5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6438768"/>
        <c:axId val="1129051072"/>
      </c:scatterChart>
      <c:valAx>
        <c:axId val="1406438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129051072"/>
        <c:crosses val="autoZero"/>
        <c:crossBetween val="midCat"/>
      </c:valAx>
      <c:valAx>
        <c:axId val="11290510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06438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424308784057717"/>
          <c:y val="0.12307753945081856"/>
          <c:w val="0.69697175950449664"/>
          <c:h val="0.66667000535860055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'Capital structure'!$B$38:$G$38</c:f>
              <c:numCache>
                <c:formatCode>General</c:formatCode>
                <c:ptCount val="6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</c:numCache>
            </c:numRef>
          </c:xVal>
          <c:yVal>
            <c:numRef>
              <c:f>'Capital structure'!$B$67:$G$67</c:f>
              <c:numCache>
                <c:formatCode>General</c:formatCode>
                <c:ptCount val="6"/>
                <c:pt idx="0">
                  <c:v>200000</c:v>
                </c:pt>
                <c:pt idx="1">
                  <c:v>206642.42424242425</c:v>
                </c:pt>
                <c:pt idx="2">
                  <c:v>211868.13186813187</c:v>
                </c:pt>
                <c:pt idx="3">
                  <c:v>212649.57264957266</c:v>
                </c:pt>
                <c:pt idx="4">
                  <c:v>205141.06583072103</c:v>
                </c:pt>
                <c:pt idx="5">
                  <c:v>192500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BD-4D6B-8433-FA99D02BA2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751216"/>
        <c:axId val="111751776"/>
      </c:scatterChart>
      <c:valAx>
        <c:axId val="11175121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1751776"/>
        <c:crosses val="autoZero"/>
        <c:crossBetween val="midCat"/>
      </c:valAx>
      <c:valAx>
        <c:axId val="111751776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1751216"/>
        <c:crosses val="autoZero"/>
        <c:crossBetween val="midCat"/>
        <c:minorUnit val="100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2"/>
          <c:order val="2"/>
          <c:tx>
            <c:strRef>
              <c:f>'Capital structure'!$I$29</c:f>
              <c:strCache>
                <c:ptCount val="1"/>
                <c:pt idx="0">
                  <c:v>debt=0.20,mean=13.50%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'Capital structure'!$I$32:$I$33</c:f>
              <c:numCache>
                <c:formatCode>0.00%</c:formatCode>
                <c:ptCount val="2"/>
                <c:pt idx="0">
                  <c:v>0.13500000000000001</c:v>
                </c:pt>
                <c:pt idx="1">
                  <c:v>0.13500000000000001</c:v>
                </c:pt>
              </c:numCache>
            </c:numRef>
          </c:xVal>
          <c:yVal>
            <c:numRef>
              <c:f>'Capital structure'!$J$32:$J$33</c:f>
              <c:numCache>
                <c:formatCode>0.00%</c:formatCode>
                <c:ptCount val="2"/>
                <c:pt idx="0" formatCode="General">
                  <c:v>0</c:v>
                </c:pt>
                <c:pt idx="1">
                  <c:v>2.1536934385112012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E20-4F76-B874-43CF2C251B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98527"/>
        <c:axId val="1715264671"/>
      </c:scatterChart>
      <c:scatterChart>
        <c:scatterStyle val="lineMarker"/>
        <c:varyColors val="0"/>
        <c:ser>
          <c:idx val="0"/>
          <c:order val="0"/>
          <c:tx>
            <c:v>Debt=26%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'Capital structure'!$N$2:$N$102</c:f>
              <c:numCache>
                <c:formatCode>0%</c:formatCode>
                <c:ptCount val="101"/>
                <c:pt idx="0">
                  <c:v>-1</c:v>
                </c:pt>
                <c:pt idx="1">
                  <c:v>-0.98</c:v>
                </c:pt>
                <c:pt idx="2">
                  <c:v>-0.96</c:v>
                </c:pt>
                <c:pt idx="3">
                  <c:v>-0.94</c:v>
                </c:pt>
                <c:pt idx="4">
                  <c:v>-0.92</c:v>
                </c:pt>
                <c:pt idx="5">
                  <c:v>-0.9</c:v>
                </c:pt>
                <c:pt idx="6">
                  <c:v>-0.88</c:v>
                </c:pt>
                <c:pt idx="7">
                  <c:v>-0.86</c:v>
                </c:pt>
                <c:pt idx="8">
                  <c:v>-0.84</c:v>
                </c:pt>
                <c:pt idx="9">
                  <c:v>-0.82</c:v>
                </c:pt>
                <c:pt idx="10">
                  <c:v>-0.8</c:v>
                </c:pt>
                <c:pt idx="11">
                  <c:v>-0.78</c:v>
                </c:pt>
                <c:pt idx="12">
                  <c:v>-0.76</c:v>
                </c:pt>
                <c:pt idx="13">
                  <c:v>-0.74</c:v>
                </c:pt>
                <c:pt idx="14">
                  <c:v>-0.72</c:v>
                </c:pt>
                <c:pt idx="15">
                  <c:v>-0.7</c:v>
                </c:pt>
                <c:pt idx="16">
                  <c:v>-0.68</c:v>
                </c:pt>
                <c:pt idx="17">
                  <c:v>-0.66</c:v>
                </c:pt>
                <c:pt idx="18">
                  <c:v>-0.64</c:v>
                </c:pt>
                <c:pt idx="19">
                  <c:v>-0.62</c:v>
                </c:pt>
                <c:pt idx="20">
                  <c:v>-0.6</c:v>
                </c:pt>
                <c:pt idx="21">
                  <c:v>-0.57999999999999996</c:v>
                </c:pt>
                <c:pt idx="22">
                  <c:v>-0.56000000000000005</c:v>
                </c:pt>
                <c:pt idx="23">
                  <c:v>-0.54</c:v>
                </c:pt>
                <c:pt idx="24">
                  <c:v>-0.52</c:v>
                </c:pt>
                <c:pt idx="25">
                  <c:v>-0.5</c:v>
                </c:pt>
                <c:pt idx="26">
                  <c:v>-0.48</c:v>
                </c:pt>
                <c:pt idx="27">
                  <c:v>-0.46</c:v>
                </c:pt>
                <c:pt idx="28">
                  <c:v>-0.44</c:v>
                </c:pt>
                <c:pt idx="29">
                  <c:v>-0.41999999999999899</c:v>
                </c:pt>
                <c:pt idx="30">
                  <c:v>-0.39999999999999902</c:v>
                </c:pt>
                <c:pt idx="31">
                  <c:v>-0.37999999999999901</c:v>
                </c:pt>
                <c:pt idx="32">
                  <c:v>-0.35999999999999899</c:v>
                </c:pt>
                <c:pt idx="33">
                  <c:v>-0.33999999999999903</c:v>
                </c:pt>
                <c:pt idx="34">
                  <c:v>-0.31999999999999901</c:v>
                </c:pt>
                <c:pt idx="35">
                  <c:v>-0.29999999999999899</c:v>
                </c:pt>
                <c:pt idx="36">
                  <c:v>-0.27999999999999903</c:v>
                </c:pt>
                <c:pt idx="37">
                  <c:v>-0.25999999999999901</c:v>
                </c:pt>
                <c:pt idx="38">
                  <c:v>-0.23999999999999899</c:v>
                </c:pt>
                <c:pt idx="39">
                  <c:v>-0.219999999999999</c:v>
                </c:pt>
                <c:pt idx="40">
                  <c:v>-0.19999999999999901</c:v>
                </c:pt>
                <c:pt idx="41">
                  <c:v>-0.17999999999999899</c:v>
                </c:pt>
                <c:pt idx="42">
                  <c:v>-0.159999999999999</c:v>
                </c:pt>
                <c:pt idx="43">
                  <c:v>-0.13999999999999899</c:v>
                </c:pt>
                <c:pt idx="44">
                  <c:v>-0.119999999999999</c:v>
                </c:pt>
                <c:pt idx="45">
                  <c:v>-9.9999999999999006E-2</c:v>
                </c:pt>
                <c:pt idx="46">
                  <c:v>-7.9999999999999002E-2</c:v>
                </c:pt>
                <c:pt idx="47">
                  <c:v>-5.9999999999999103E-2</c:v>
                </c:pt>
                <c:pt idx="48">
                  <c:v>-3.9999999999999002E-2</c:v>
                </c:pt>
                <c:pt idx="49">
                  <c:v>-1.9999999999999001E-2</c:v>
                </c:pt>
                <c:pt idx="50">
                  <c:v>0</c:v>
                </c:pt>
                <c:pt idx="51">
                  <c:v>0.02</c:v>
                </c:pt>
                <c:pt idx="52">
                  <c:v>0.04</c:v>
                </c:pt>
                <c:pt idx="53">
                  <c:v>6.0000000000000102E-2</c:v>
                </c:pt>
                <c:pt idx="54">
                  <c:v>8.0000000000000099E-2</c:v>
                </c:pt>
                <c:pt idx="55">
                  <c:v>0.1</c:v>
                </c:pt>
                <c:pt idx="56">
                  <c:v>0.12</c:v>
                </c:pt>
                <c:pt idx="57">
                  <c:v>0.14000000000000001</c:v>
                </c:pt>
                <c:pt idx="58">
                  <c:v>0.16</c:v>
                </c:pt>
                <c:pt idx="59">
                  <c:v>0.18</c:v>
                </c:pt>
                <c:pt idx="60">
                  <c:v>0.2</c:v>
                </c:pt>
                <c:pt idx="61">
                  <c:v>0.22</c:v>
                </c:pt>
                <c:pt idx="62">
                  <c:v>0.24</c:v>
                </c:pt>
                <c:pt idx="63">
                  <c:v>0.26</c:v>
                </c:pt>
                <c:pt idx="64">
                  <c:v>0.28000000000000003</c:v>
                </c:pt>
                <c:pt idx="65">
                  <c:v>0.3</c:v>
                </c:pt>
                <c:pt idx="66">
                  <c:v>0.32</c:v>
                </c:pt>
                <c:pt idx="67">
                  <c:v>0.34</c:v>
                </c:pt>
                <c:pt idx="68">
                  <c:v>0.36</c:v>
                </c:pt>
                <c:pt idx="69">
                  <c:v>0.38</c:v>
                </c:pt>
                <c:pt idx="70">
                  <c:v>0.4</c:v>
                </c:pt>
                <c:pt idx="71">
                  <c:v>0.42</c:v>
                </c:pt>
                <c:pt idx="72">
                  <c:v>0.44</c:v>
                </c:pt>
                <c:pt idx="73">
                  <c:v>0.46</c:v>
                </c:pt>
                <c:pt idx="74">
                  <c:v>0.48</c:v>
                </c:pt>
                <c:pt idx="75">
                  <c:v>0.5</c:v>
                </c:pt>
                <c:pt idx="76">
                  <c:v>0.52</c:v>
                </c:pt>
                <c:pt idx="77">
                  <c:v>0.54</c:v>
                </c:pt>
                <c:pt idx="78">
                  <c:v>0.56000000000000005</c:v>
                </c:pt>
                <c:pt idx="79">
                  <c:v>0.57999999999999996</c:v>
                </c:pt>
                <c:pt idx="80">
                  <c:v>0.6</c:v>
                </c:pt>
                <c:pt idx="81">
                  <c:v>0.62</c:v>
                </c:pt>
                <c:pt idx="82">
                  <c:v>0.64</c:v>
                </c:pt>
                <c:pt idx="83">
                  <c:v>0.66</c:v>
                </c:pt>
                <c:pt idx="84">
                  <c:v>0.68</c:v>
                </c:pt>
                <c:pt idx="85">
                  <c:v>0.7</c:v>
                </c:pt>
                <c:pt idx="86">
                  <c:v>0.72</c:v>
                </c:pt>
                <c:pt idx="87">
                  <c:v>0.74</c:v>
                </c:pt>
                <c:pt idx="88">
                  <c:v>0.76</c:v>
                </c:pt>
                <c:pt idx="89">
                  <c:v>0.78</c:v>
                </c:pt>
                <c:pt idx="90">
                  <c:v>0.8</c:v>
                </c:pt>
                <c:pt idx="91">
                  <c:v>0.82</c:v>
                </c:pt>
                <c:pt idx="92">
                  <c:v>0.84</c:v>
                </c:pt>
                <c:pt idx="93">
                  <c:v>0.86</c:v>
                </c:pt>
                <c:pt idx="94">
                  <c:v>0.88</c:v>
                </c:pt>
                <c:pt idx="95">
                  <c:v>0.9</c:v>
                </c:pt>
                <c:pt idx="96">
                  <c:v>0.92</c:v>
                </c:pt>
                <c:pt idx="97">
                  <c:v>0.94</c:v>
                </c:pt>
                <c:pt idx="98">
                  <c:v>0.96</c:v>
                </c:pt>
                <c:pt idx="99">
                  <c:v>0.98</c:v>
                </c:pt>
                <c:pt idx="100">
                  <c:v>1</c:v>
                </c:pt>
              </c:numCache>
            </c:numRef>
          </c:xVal>
          <c:yVal>
            <c:numRef>
              <c:f>'Capital structure'!$P$2:$P$102</c:f>
              <c:numCache>
                <c:formatCode>0.00%</c:formatCode>
                <c:ptCount val="101"/>
                <c:pt idx="0">
                  <c:v>1.5157585283241864E-8</c:v>
                </c:pt>
                <c:pt idx="1">
                  <c:v>2.9202046438753667E-8</c:v>
                </c:pt>
                <c:pt idx="2">
                  <c:v>5.560754736711183E-8</c:v>
                </c:pt>
                <c:pt idx="3">
                  <c:v>1.0466256646566436E-7</c:v>
                </c:pt>
                <c:pt idx="4">
                  <c:v>1.9470908053730619E-7</c:v>
                </c:pt>
                <c:pt idx="5">
                  <c:v>3.5802901049656665E-7</c:v>
                </c:pt>
                <c:pt idx="6">
                  <c:v>6.5070990402123565E-7</c:v>
                </c:pt>
                <c:pt idx="7">
                  <c:v>1.1689442578027391E-6</c:v>
                </c:pt>
                <c:pt idx="8">
                  <c:v>2.0755699449295618E-6</c:v>
                </c:pt>
                <c:pt idx="9">
                  <c:v>3.6426557583232474E-6</c:v>
                </c:pt>
                <c:pt idx="10">
                  <c:v>6.3188213257988729E-6</c:v>
                </c:pt>
                <c:pt idx="11">
                  <c:v>1.0834059233757808E-5</c:v>
                </c:pt>
                <c:pt idx="12">
                  <c:v>1.836045851289721E-5</c:v>
                </c:pt>
                <c:pt idx="13">
                  <c:v>3.0754808403868041E-5</c:v>
                </c:pt>
                <c:pt idx="14">
                  <c:v>5.0918982350197114E-5</c:v>
                </c:pt>
                <c:pt idx="15">
                  <c:v>8.3326586537017897E-5</c:v>
                </c:pt>
                <c:pt idx="16">
                  <c:v>1.3477975224528716E-4</c:v>
                </c:pt>
                <c:pt idx="17">
                  <c:v>2.154779833816107E-4</c:v>
                </c:pt>
                <c:pt idx="18">
                  <c:v>3.4050095748573288E-4</c:v>
                </c:pt>
                <c:pt idx="19">
                  <c:v>5.3182770650203029E-4</c:v>
                </c:pt>
                <c:pt idx="20">
                  <c:v>8.2103329027289436E-4</c:v>
                </c:pt>
                <c:pt idx="21">
                  <c:v>1.2528173548898203E-3</c:v>
                </c:pt>
                <c:pt idx="22">
                  <c:v>1.8895219504132469E-3</c:v>
                </c:pt>
                <c:pt idx="23">
                  <c:v>2.8167824640094844E-3</c:v>
                </c:pt>
                <c:pt idx="24">
                  <c:v>4.15041822672971E-3</c:v>
                </c:pt>
                <c:pt idx="25">
                  <c:v>6.0446004796661209E-3</c:v>
                </c:pt>
                <c:pt idx="26">
                  <c:v>8.7012275707894042E-3</c:v>
                </c:pt>
                <c:pt idx="27">
                  <c:v>1.2380284920276268E-2</c:v>
                </c:pt>
                <c:pt idx="28">
                  <c:v>1.7410768395655304E-2</c:v>
                </c:pt>
                <c:pt idx="29">
                  <c:v>2.4201507762799876E-2</c:v>
                </c:pt>
                <c:pt idx="30">
                  <c:v>3.3250952843214124E-2</c:v>
                </c:pt>
                <c:pt idx="31">
                  <c:v>4.5154699128225957E-2</c:v>
                </c:pt>
                <c:pt idx="32">
                  <c:v>6.0609262162097541E-2</c:v>
                </c:pt>
                <c:pt idx="33">
                  <c:v>8.0410400954174163E-2</c:v>
                </c:pt>
                <c:pt idx="34">
                  <c:v>0.10544418747791794</c:v>
                </c:pt>
                <c:pt idx="35">
                  <c:v>0.13666907276233708</c:v>
                </c:pt>
                <c:pt idx="36">
                  <c:v>0.17508745805905709</c:v>
                </c:pt>
                <c:pt idx="37">
                  <c:v>0.22170577903402205</c:v>
                </c:pt>
                <c:pt idx="38">
                  <c:v>0.2774828689492877</c:v>
                </c:pt>
                <c:pt idx="39">
                  <c:v>0.34326737180381806</c:v>
                </c:pt>
                <c:pt idx="40">
                  <c:v>0.41972618127176664</c:v>
                </c:pt>
                <c:pt idx="41">
                  <c:v>0.50726719991332292</c:v>
                </c:pt>
                <c:pt idx="42">
                  <c:v>0.60596102212028879</c:v>
                </c:pt>
                <c:pt idx="43">
                  <c:v>0.7154672906991919</c:v>
                </c:pt>
                <c:pt idx="44">
                  <c:v>0.83497229280187513</c:v>
                </c:pt>
                <c:pt idx="45">
                  <c:v>0.96314468275352239</c:v>
                </c:pt>
                <c:pt idx="46">
                  <c:v>1.0981159122312838</c:v>
                </c:pt>
                <c:pt idx="47">
                  <c:v>1.2374909298204015</c:v>
                </c:pt>
                <c:pt idx="48">
                  <c:v>1.378392973418151</c:v>
                </c:pt>
                <c:pt idx="49">
                  <c:v>1.5175438989034358</c:v>
                </c:pt>
                <c:pt idx="50">
                  <c:v>1.6513786362381808</c:v>
                </c:pt>
                <c:pt idx="51">
                  <c:v>1.7761892900939689</c:v>
                </c:pt>
                <c:pt idx="52">
                  <c:v>1.8882914149344996</c:v>
                </c:pt>
                <c:pt idx="53">
                  <c:v>1.9842024272795002</c:v>
                </c:pt>
                <c:pt idx="54">
                  <c:v>2.0608202866235694</c:v>
                </c:pt>
                <c:pt idx="55">
                  <c:v>2.1155897370780661</c:v>
                </c:pt>
                <c:pt idx="56">
                  <c:v>2.146643711793176</c:v>
                </c:pt>
                <c:pt idx="57">
                  <c:v>2.1529089936324191</c:v>
                </c:pt>
                <c:pt idx="58">
                  <c:v>2.1341677937294001</c:v>
                </c:pt>
                <c:pt idx="59">
                  <c:v>2.0910703204328578</c:v>
                </c:pt>
                <c:pt idx="60">
                  <c:v>2.0250973270296484</c:v>
                </c:pt>
                <c:pt idx="61">
                  <c:v>1.9384756467984776</c:v>
                </c:pt>
                <c:pt idx="62">
                  <c:v>1.8340534345744206</c:v>
                </c:pt>
                <c:pt idx="63">
                  <c:v>1.7151448600546566</c:v>
                </c:pt>
                <c:pt idx="64">
                  <c:v>1.58535604942731</c:v>
                </c:pt>
                <c:pt idx="65">
                  <c:v>1.4484049770973297</c:v>
                </c:pt>
                <c:pt idx="66">
                  <c:v>1.3079477322575805</c:v>
                </c:pt>
                <c:pt idx="67">
                  <c:v>1.1674222230895142</c:v>
                </c:pt>
                <c:pt idx="68">
                  <c:v>1.0299181454211888</c:v>
                </c:pt>
                <c:pt idx="69">
                  <c:v>0.89807922390124695</c:v>
                </c:pt>
                <c:pt idx="70">
                  <c:v>0.77404066211071354</c:v>
                </c:pt>
                <c:pt idx="71">
                  <c:v>0.6594017392482483</c:v>
                </c:pt>
                <c:pt idx="72">
                  <c:v>0.55523084826060443</c:v>
                </c:pt>
                <c:pt idx="73">
                  <c:v>0.46209819542207897</c:v>
                </c:pt>
                <c:pt idx="74">
                  <c:v>0.38012999872524755</c:v>
                </c:pt>
                <c:pt idx="75">
                  <c:v>0.30907736581076473</c:v>
                </c:pt>
                <c:pt idx="76">
                  <c:v>0.24839305367044703</c:v>
                </c:pt>
                <c:pt idx="77">
                  <c:v>0.19730990040307878</c:v>
                </c:pt>
                <c:pt idx="78">
                  <c:v>0.1549157216630446</c:v>
                </c:pt>
                <c:pt idx="79">
                  <c:v>0.12022071262519837</c:v>
                </c:pt>
                <c:pt idx="80">
                  <c:v>9.2214727631203544E-2</c:v>
                </c:pt>
                <c:pt idx="81">
                  <c:v>6.9913084637994324E-2</c:v>
                </c:pt>
                <c:pt idx="82">
                  <c:v>5.239065482424294E-2</c:v>
                </c:pt>
                <c:pt idx="83">
                  <c:v>3.880488275880932E-2</c:v>
                </c:pt>
                <c:pt idx="84">
                  <c:v>2.8409010740783631E-2</c:v>
                </c:pt>
                <c:pt idx="85">
                  <c:v>2.0557156051792761E-2</c:v>
                </c:pt>
                <c:pt idx="86">
                  <c:v>1.4703040067736558E-2</c:v>
                </c:pt>
                <c:pt idx="87">
                  <c:v>1.0394136962527303E-2</c:v>
                </c:pt>
                <c:pt idx="88">
                  <c:v>7.2628473449371234E-3</c:v>
                </c:pt>
                <c:pt idx="89">
                  <c:v>5.0160583882643325E-3</c:v>
                </c:pt>
                <c:pt idx="90">
                  <c:v>3.4241709359437889E-3</c:v>
                </c:pt>
                <c:pt idx="91">
                  <c:v>2.3103909599931109E-3</c:v>
                </c:pt>
                <c:pt idx="92">
                  <c:v>1.54082282365773E-3</c:v>
                </c:pt>
                <c:pt idx="93">
                  <c:v>1.015680502304902E-3</c:v>
                </c:pt>
                <c:pt idx="94">
                  <c:v>6.6175725996312374E-4</c:v>
                </c:pt>
                <c:pt idx="95">
                  <c:v>4.261647259479962E-4</c:v>
                </c:pt>
                <c:pt idx="96">
                  <c:v>2.7126481834701088E-4</c:v>
                </c:pt>
                <c:pt idx="97">
                  <c:v>1.7066585066004544E-4</c:v>
                </c:pt>
                <c:pt idx="98">
                  <c:v>1.0612970919961598E-4</c:v>
                </c:pt>
                <c:pt idx="99">
                  <c:v>6.5232572420780021E-5</c:v>
                </c:pt>
                <c:pt idx="100">
                  <c:v>3.963046994528709E-5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20-4F76-B874-43CF2C251B05}"/>
            </c:ext>
          </c:extLst>
        </c:ser>
        <c:ser>
          <c:idx val="1"/>
          <c:order val="1"/>
          <c:tx>
            <c:v>0 Debt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'Capital structure'!$N$2:$N$102</c:f>
              <c:numCache>
                <c:formatCode>0%</c:formatCode>
                <c:ptCount val="101"/>
                <c:pt idx="0">
                  <c:v>-1</c:v>
                </c:pt>
                <c:pt idx="1">
                  <c:v>-0.98</c:v>
                </c:pt>
                <c:pt idx="2">
                  <c:v>-0.96</c:v>
                </c:pt>
                <c:pt idx="3">
                  <c:v>-0.94</c:v>
                </c:pt>
                <c:pt idx="4">
                  <c:v>-0.92</c:v>
                </c:pt>
                <c:pt idx="5">
                  <c:v>-0.9</c:v>
                </c:pt>
                <c:pt idx="6">
                  <c:v>-0.88</c:v>
                </c:pt>
                <c:pt idx="7">
                  <c:v>-0.86</c:v>
                </c:pt>
                <c:pt idx="8">
                  <c:v>-0.84</c:v>
                </c:pt>
                <c:pt idx="9">
                  <c:v>-0.82</c:v>
                </c:pt>
                <c:pt idx="10">
                  <c:v>-0.8</c:v>
                </c:pt>
                <c:pt idx="11">
                  <c:v>-0.78</c:v>
                </c:pt>
                <c:pt idx="12">
                  <c:v>-0.76</c:v>
                </c:pt>
                <c:pt idx="13">
                  <c:v>-0.74</c:v>
                </c:pt>
                <c:pt idx="14">
                  <c:v>-0.72</c:v>
                </c:pt>
                <c:pt idx="15">
                  <c:v>-0.7</c:v>
                </c:pt>
                <c:pt idx="16">
                  <c:v>-0.68</c:v>
                </c:pt>
                <c:pt idx="17">
                  <c:v>-0.66</c:v>
                </c:pt>
                <c:pt idx="18">
                  <c:v>-0.64</c:v>
                </c:pt>
                <c:pt idx="19">
                  <c:v>-0.62</c:v>
                </c:pt>
                <c:pt idx="20">
                  <c:v>-0.6</c:v>
                </c:pt>
                <c:pt idx="21">
                  <c:v>-0.57999999999999996</c:v>
                </c:pt>
                <c:pt idx="22">
                  <c:v>-0.56000000000000005</c:v>
                </c:pt>
                <c:pt idx="23">
                  <c:v>-0.54</c:v>
                </c:pt>
                <c:pt idx="24">
                  <c:v>-0.52</c:v>
                </c:pt>
                <c:pt idx="25">
                  <c:v>-0.5</c:v>
                </c:pt>
                <c:pt idx="26">
                  <c:v>-0.48</c:v>
                </c:pt>
                <c:pt idx="27">
                  <c:v>-0.46</c:v>
                </c:pt>
                <c:pt idx="28">
                  <c:v>-0.44</c:v>
                </c:pt>
                <c:pt idx="29">
                  <c:v>-0.41999999999999899</c:v>
                </c:pt>
                <c:pt idx="30">
                  <c:v>-0.39999999999999902</c:v>
                </c:pt>
                <c:pt idx="31">
                  <c:v>-0.37999999999999901</c:v>
                </c:pt>
                <c:pt idx="32">
                  <c:v>-0.35999999999999899</c:v>
                </c:pt>
                <c:pt idx="33">
                  <c:v>-0.33999999999999903</c:v>
                </c:pt>
                <c:pt idx="34">
                  <c:v>-0.31999999999999901</c:v>
                </c:pt>
                <c:pt idx="35">
                  <c:v>-0.29999999999999899</c:v>
                </c:pt>
                <c:pt idx="36">
                  <c:v>-0.27999999999999903</c:v>
                </c:pt>
                <c:pt idx="37">
                  <c:v>-0.25999999999999901</c:v>
                </c:pt>
                <c:pt idx="38">
                  <c:v>-0.23999999999999899</c:v>
                </c:pt>
                <c:pt idx="39">
                  <c:v>-0.219999999999999</c:v>
                </c:pt>
                <c:pt idx="40">
                  <c:v>-0.19999999999999901</c:v>
                </c:pt>
                <c:pt idx="41">
                  <c:v>-0.17999999999999899</c:v>
                </c:pt>
                <c:pt idx="42">
                  <c:v>-0.159999999999999</c:v>
                </c:pt>
                <c:pt idx="43">
                  <c:v>-0.13999999999999899</c:v>
                </c:pt>
                <c:pt idx="44">
                  <c:v>-0.119999999999999</c:v>
                </c:pt>
                <c:pt idx="45">
                  <c:v>-9.9999999999999006E-2</c:v>
                </c:pt>
                <c:pt idx="46">
                  <c:v>-7.9999999999999002E-2</c:v>
                </c:pt>
                <c:pt idx="47">
                  <c:v>-5.9999999999999103E-2</c:v>
                </c:pt>
                <c:pt idx="48">
                  <c:v>-3.9999999999999002E-2</c:v>
                </c:pt>
                <c:pt idx="49">
                  <c:v>-1.9999999999999001E-2</c:v>
                </c:pt>
                <c:pt idx="50">
                  <c:v>0</c:v>
                </c:pt>
                <c:pt idx="51">
                  <c:v>0.02</c:v>
                </c:pt>
                <c:pt idx="52">
                  <c:v>0.04</c:v>
                </c:pt>
                <c:pt idx="53">
                  <c:v>6.0000000000000102E-2</c:v>
                </c:pt>
                <c:pt idx="54">
                  <c:v>8.0000000000000099E-2</c:v>
                </c:pt>
                <c:pt idx="55">
                  <c:v>0.1</c:v>
                </c:pt>
                <c:pt idx="56">
                  <c:v>0.12</c:v>
                </c:pt>
                <c:pt idx="57">
                  <c:v>0.14000000000000001</c:v>
                </c:pt>
                <c:pt idx="58">
                  <c:v>0.16</c:v>
                </c:pt>
                <c:pt idx="59">
                  <c:v>0.18</c:v>
                </c:pt>
                <c:pt idx="60">
                  <c:v>0.2</c:v>
                </c:pt>
                <c:pt idx="61">
                  <c:v>0.22</c:v>
                </c:pt>
                <c:pt idx="62">
                  <c:v>0.24</c:v>
                </c:pt>
                <c:pt idx="63">
                  <c:v>0.26</c:v>
                </c:pt>
                <c:pt idx="64">
                  <c:v>0.28000000000000003</c:v>
                </c:pt>
                <c:pt idx="65">
                  <c:v>0.3</c:v>
                </c:pt>
                <c:pt idx="66">
                  <c:v>0.32</c:v>
                </c:pt>
                <c:pt idx="67">
                  <c:v>0.34</c:v>
                </c:pt>
                <c:pt idx="68">
                  <c:v>0.36</c:v>
                </c:pt>
                <c:pt idx="69">
                  <c:v>0.38</c:v>
                </c:pt>
                <c:pt idx="70">
                  <c:v>0.4</c:v>
                </c:pt>
                <c:pt idx="71">
                  <c:v>0.42</c:v>
                </c:pt>
                <c:pt idx="72">
                  <c:v>0.44</c:v>
                </c:pt>
                <c:pt idx="73">
                  <c:v>0.46</c:v>
                </c:pt>
                <c:pt idx="74">
                  <c:v>0.48</c:v>
                </c:pt>
                <c:pt idx="75">
                  <c:v>0.5</c:v>
                </c:pt>
                <c:pt idx="76">
                  <c:v>0.52</c:v>
                </c:pt>
                <c:pt idx="77">
                  <c:v>0.54</c:v>
                </c:pt>
                <c:pt idx="78">
                  <c:v>0.56000000000000005</c:v>
                </c:pt>
                <c:pt idx="79">
                  <c:v>0.57999999999999996</c:v>
                </c:pt>
                <c:pt idx="80">
                  <c:v>0.6</c:v>
                </c:pt>
                <c:pt idx="81">
                  <c:v>0.62</c:v>
                </c:pt>
                <c:pt idx="82">
                  <c:v>0.64</c:v>
                </c:pt>
                <c:pt idx="83">
                  <c:v>0.66</c:v>
                </c:pt>
                <c:pt idx="84">
                  <c:v>0.68</c:v>
                </c:pt>
                <c:pt idx="85">
                  <c:v>0.7</c:v>
                </c:pt>
                <c:pt idx="86">
                  <c:v>0.72</c:v>
                </c:pt>
                <c:pt idx="87">
                  <c:v>0.74</c:v>
                </c:pt>
                <c:pt idx="88">
                  <c:v>0.76</c:v>
                </c:pt>
                <c:pt idx="89">
                  <c:v>0.78</c:v>
                </c:pt>
                <c:pt idx="90">
                  <c:v>0.8</c:v>
                </c:pt>
                <c:pt idx="91">
                  <c:v>0.82</c:v>
                </c:pt>
                <c:pt idx="92">
                  <c:v>0.84</c:v>
                </c:pt>
                <c:pt idx="93">
                  <c:v>0.86</c:v>
                </c:pt>
                <c:pt idx="94">
                  <c:v>0.88</c:v>
                </c:pt>
                <c:pt idx="95">
                  <c:v>0.9</c:v>
                </c:pt>
                <c:pt idx="96">
                  <c:v>0.92</c:v>
                </c:pt>
                <c:pt idx="97">
                  <c:v>0.94</c:v>
                </c:pt>
                <c:pt idx="98">
                  <c:v>0.96</c:v>
                </c:pt>
                <c:pt idx="99">
                  <c:v>0.98</c:v>
                </c:pt>
                <c:pt idx="100">
                  <c:v>1</c:v>
                </c:pt>
              </c:numCache>
            </c:numRef>
          </c:xVal>
          <c:yVal>
            <c:numRef>
              <c:f>'Capital structure'!$O$2:$O$102</c:f>
              <c:numCache>
                <c:formatCode>0.00%</c:formatCode>
                <c:ptCount val="101"/>
                <c:pt idx="0">
                  <c:v>1.0621858180870183E-12</c:v>
                </c:pt>
                <c:pt idx="1">
                  <c:v>2.9190488858979094E-12</c:v>
                </c:pt>
                <c:pt idx="2">
                  <c:v>7.8771949108423707E-12</c:v>
                </c:pt>
                <c:pt idx="3">
                  <c:v>2.0873302581446027E-11</c:v>
                </c:pt>
                <c:pt idx="4">
                  <c:v>5.431253823313448E-11</c:v>
                </c:pt>
                <c:pt idx="5">
                  <c:v>1.3877089331357724E-10</c:v>
                </c:pt>
                <c:pt idx="6">
                  <c:v>3.4816573076523414E-10</c:v>
                </c:pt>
                <c:pt idx="7">
                  <c:v>8.5775451757880288E-10</c:v>
                </c:pt>
                <c:pt idx="8">
                  <c:v>2.0750537926910596E-9</c:v>
                </c:pt>
                <c:pt idx="9">
                  <c:v>4.9292978269589085E-9</c:v>
                </c:pt>
                <c:pt idx="10">
                  <c:v>1.1498206708532407E-8</c:v>
                </c:pt>
                <c:pt idx="11">
                  <c:v>2.6336891741464863E-8</c:v>
                </c:pt>
                <c:pt idx="12">
                  <c:v>5.9236348423675445E-8</c:v>
                </c:pt>
                <c:pt idx="13">
                  <c:v>1.3082820808207953E-7</c:v>
                </c:pt>
                <c:pt idx="14">
                  <c:v>2.837290871542099E-7</c:v>
                </c:pt>
                <c:pt idx="15">
                  <c:v>6.0422081489644248E-7</c:v>
                </c:pt>
                <c:pt idx="16">
                  <c:v>1.2635046874741517E-6</c:v>
                </c:pt>
                <c:pt idx="17">
                  <c:v>2.5944624311619435E-6</c:v>
                </c:pt>
                <c:pt idx="18">
                  <c:v>5.2312716041563514E-6</c:v>
                </c:pt>
                <c:pt idx="19">
                  <c:v>1.0357537280791515E-5</c:v>
                </c:pt>
                <c:pt idx="20">
                  <c:v>2.0137015072734311E-5</c:v>
                </c:pt>
                <c:pt idx="21">
                  <c:v>3.8443510504835058E-5</c:v>
                </c:pt>
                <c:pt idx="22">
                  <c:v>7.2067645930250964E-5</c:v>
                </c:pt>
                <c:pt idx="23">
                  <c:v>1.326621364995195E-4</c:v>
                </c:pt>
                <c:pt idx="24">
                  <c:v>2.397965839539939E-4</c:v>
                </c:pt>
                <c:pt idx="25">
                  <c:v>4.2562619685716611E-4</c:v>
                </c:pt>
                <c:pt idx="26">
                  <c:v>7.4182772855649164E-4</c:v>
                </c:pt>
                <c:pt idx="27">
                  <c:v>1.2696006278811222E-3</c:v>
                </c:pt>
                <c:pt idx="28">
                  <c:v>2.133637069391835E-3</c:v>
                </c:pt>
                <c:pt idx="29">
                  <c:v>3.5209780800119369E-3</c:v>
                </c:pt>
                <c:pt idx="30">
                  <c:v>5.7055228410157937E-3</c:v>
                </c:pt>
                <c:pt idx="31">
                  <c:v>9.0785591811715881E-3</c:v>
                </c:pt>
                <c:pt idx="32">
                  <c:v>1.4184948499221301E-2</c:v>
                </c:pt>
                <c:pt idx="33">
                  <c:v>2.176346049456954E-2</c:v>
                </c:pt>
                <c:pt idx="34">
                  <c:v>3.2788193784476033E-2</c:v>
                </c:pt>
                <c:pt idx="35">
                  <c:v>4.8506103448512562E-2</c:v>
                </c:pt>
                <c:pt idx="36">
                  <c:v>7.0463569205774595E-2</c:v>
                </c:pt>
                <c:pt idx="37">
                  <c:v>0.10051300119271808</c:v>
                </c:pt>
                <c:pt idx="38">
                  <c:v>0.1407891533396784</c:v>
                </c:pt>
                <c:pt idx="39">
                  <c:v>0.19364465207880871</c:v>
                </c:pt>
                <c:pt idx="40">
                  <c:v>0.26153581585403252</c:v>
                </c:pt>
                <c:pt idx="41">
                  <c:v>0.34685358618661061</c:v>
                </c:pt>
                <c:pt idx="42">
                  <c:v>0.45170048874438684</c:v>
                </c:pt>
                <c:pt idx="43">
                  <c:v>0.5776227442776054</c:v>
                </c:pt>
                <c:pt idx="44">
                  <c:v>0.72531617781011692</c:v>
                </c:pt>
                <c:pt idx="45">
                  <c:v>0.89433411337399138</c:v>
                </c:pt>
                <c:pt idx="46">
                  <c:v>1.0828332498568967</c:v>
                </c:pt>
                <c:pt idx="47">
                  <c:v>1.2873976817764949</c:v>
                </c:pt>
                <c:pt idx="48">
                  <c:v>1.502980051215832</c:v>
                </c:pt>
                <c:pt idx="49">
                  <c:v>1.7229912167726911</c:v>
                </c:pt>
                <c:pt idx="50">
                  <c:v>1.9395557373932011</c:v>
                </c:pt>
                <c:pt idx="51">
                  <c:v>2.1439310750683211</c:v>
                </c:pt>
                <c:pt idx="52">
                  <c:v>2.3270661428056481</c:v>
                </c:pt>
                <c:pt idx="53">
                  <c:v>2.4802530340993751</c:v>
                </c:pt>
                <c:pt idx="54">
                  <c:v>2.595808231810802</c:v>
                </c:pt>
                <c:pt idx="55">
                  <c:v>2.6677097421617502</c:v>
                </c:pt>
                <c:pt idx="56">
                  <c:v>2.6921167981390024</c:v>
                </c:pt>
                <c:pt idx="57">
                  <c:v>2.6677097421617502</c:v>
                </c:pt>
                <c:pt idx="58">
                  <c:v>2.595808231810802</c:v>
                </c:pt>
                <c:pt idx="59">
                  <c:v>2.4802530340993747</c:v>
                </c:pt>
                <c:pt idx="60">
                  <c:v>2.3270661428056481</c:v>
                </c:pt>
                <c:pt idx="61">
                  <c:v>2.1439310750683211</c:v>
                </c:pt>
                <c:pt idx="62">
                  <c:v>1.9395557373932013</c:v>
                </c:pt>
                <c:pt idx="63">
                  <c:v>1.72299121677268</c:v>
                </c:pt>
                <c:pt idx="64">
                  <c:v>1.5029800512158207</c:v>
                </c:pt>
                <c:pt idx="65">
                  <c:v>1.2873976817764858</c:v>
                </c:pt>
                <c:pt idx="66">
                  <c:v>1.0828332498568869</c:v>
                </c:pt>
                <c:pt idx="67">
                  <c:v>0.89433411337398272</c:v>
                </c:pt>
                <c:pt idx="68">
                  <c:v>0.72531617781010915</c:v>
                </c:pt>
                <c:pt idx="69">
                  <c:v>0.57762274427759852</c:v>
                </c:pt>
                <c:pt idx="70">
                  <c:v>0.45170048874438118</c:v>
                </c:pt>
                <c:pt idx="71">
                  <c:v>0.34685358618660583</c:v>
                </c:pt>
                <c:pt idx="72">
                  <c:v>0.26153581585402846</c:v>
                </c:pt>
                <c:pt idx="73">
                  <c:v>0.19364465207880574</c:v>
                </c:pt>
                <c:pt idx="74">
                  <c:v>0.14078915333967598</c:v>
                </c:pt>
                <c:pt idx="75">
                  <c:v>0.10051300119271632</c:v>
                </c:pt>
                <c:pt idx="76">
                  <c:v>7.0463569205773346E-2</c:v>
                </c:pt>
                <c:pt idx="77">
                  <c:v>4.8506103448511612E-2</c:v>
                </c:pt>
                <c:pt idx="78">
                  <c:v>3.2788193784475339E-2</c:v>
                </c:pt>
                <c:pt idx="79">
                  <c:v>2.1763460494569113E-2</c:v>
                </c:pt>
                <c:pt idx="80">
                  <c:v>1.4184948499221002E-2</c:v>
                </c:pt>
                <c:pt idx="81">
                  <c:v>9.0785591811713886E-3</c:v>
                </c:pt>
                <c:pt idx="82">
                  <c:v>5.7055228410156618E-3</c:v>
                </c:pt>
                <c:pt idx="83">
                  <c:v>3.5209780800118497E-3</c:v>
                </c:pt>
                <c:pt idx="84">
                  <c:v>2.133637069391835E-3</c:v>
                </c:pt>
                <c:pt idx="85">
                  <c:v>1.2696006278811267E-3</c:v>
                </c:pt>
                <c:pt idx="86">
                  <c:v>7.4182772855649164E-4</c:v>
                </c:pt>
                <c:pt idx="87">
                  <c:v>4.2562619685716611E-4</c:v>
                </c:pt>
                <c:pt idx="88">
                  <c:v>2.397965839539939E-4</c:v>
                </c:pt>
                <c:pt idx="89">
                  <c:v>1.326621364995195E-4</c:v>
                </c:pt>
                <c:pt idx="90">
                  <c:v>7.2067645930250964E-5</c:v>
                </c:pt>
                <c:pt idx="91">
                  <c:v>3.8443510504835058E-5</c:v>
                </c:pt>
                <c:pt idx="92">
                  <c:v>2.0137015072734311E-5</c:v>
                </c:pt>
                <c:pt idx="93">
                  <c:v>1.0357537280791515E-5</c:v>
                </c:pt>
                <c:pt idx="94">
                  <c:v>5.2312716041563514E-6</c:v>
                </c:pt>
                <c:pt idx="95">
                  <c:v>2.5944624311619435E-6</c:v>
                </c:pt>
                <c:pt idx="96">
                  <c:v>1.2635046874741517E-6</c:v>
                </c:pt>
                <c:pt idx="97">
                  <c:v>6.0422081489644248E-7</c:v>
                </c:pt>
                <c:pt idx="98">
                  <c:v>2.837290871542099E-7</c:v>
                </c:pt>
                <c:pt idx="99">
                  <c:v>1.3082820808207953E-7</c:v>
                </c:pt>
                <c:pt idx="100">
                  <c:v>5.9236348423675445E-8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20-4F76-B874-43CF2C251B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98527"/>
        <c:axId val="1715264671"/>
      </c:scatterChart>
      <c:valAx>
        <c:axId val="1556298527"/>
        <c:scaling>
          <c:orientation val="minMax"/>
        </c:scaling>
        <c:delete val="0"/>
        <c:axPos val="b"/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715264671"/>
        <c:crosses val="autoZero"/>
        <c:crossBetween val="midCat"/>
      </c:valAx>
      <c:valAx>
        <c:axId val="1715264671"/>
        <c:scaling>
          <c:orientation val="minMax"/>
          <c:max val="3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556298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3E02B61-5D5B-46A1-8756-833C614E4CFC}">
  <sheetPr codeName="Chart1"/>
  <sheetViews>
    <sheetView zoomScale="12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51</xdr:row>
          <xdr:rowOff>0</xdr:rowOff>
        </xdr:from>
        <xdr:to>
          <xdr:col>4</xdr:col>
          <xdr:colOff>22860</xdr:colOff>
          <xdr:row>52</xdr:row>
          <xdr:rowOff>38100</xdr:rowOff>
        </xdr:to>
        <xdr:sp macro="" textlink="">
          <xdr:nvSpPr>
            <xdr:cNvPr id="1025" name="Spin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57150</xdr:colOff>
      <xdr:row>47</xdr:row>
      <xdr:rowOff>9525</xdr:rowOff>
    </xdr:from>
    <xdr:to>
      <xdr:col>8</xdr:col>
      <xdr:colOff>676275</xdr:colOff>
      <xdr:row>56</xdr:row>
      <xdr:rowOff>0</xdr:rowOff>
    </xdr:to>
    <xdr:graphicFrame macro="">
      <xdr:nvGraphicFramePr>
        <xdr:cNvPr id="1026" name="圖表 2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5976938" cy="380404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4DBE3A0-397E-4A14-946F-41454339CB5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7620</xdr:rowOff>
        </xdr:from>
        <xdr:to>
          <xdr:col>5</xdr:col>
          <xdr:colOff>7620</xdr:colOff>
          <xdr:row>5</xdr:row>
          <xdr:rowOff>198120</xdr:rowOff>
        </xdr:to>
        <xdr:sp macro="" textlink="">
          <xdr:nvSpPr>
            <xdr:cNvPr id="3073" name="ScrollBar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15240</xdr:rowOff>
        </xdr:from>
        <xdr:to>
          <xdr:col>5</xdr:col>
          <xdr:colOff>7620</xdr:colOff>
          <xdr:row>7</xdr:row>
          <xdr:rowOff>0</xdr:rowOff>
        </xdr:to>
        <xdr:sp macro="" textlink="">
          <xdr:nvSpPr>
            <xdr:cNvPr id="3074" name="ScrollBar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15240</xdr:rowOff>
        </xdr:from>
        <xdr:to>
          <xdr:col>5</xdr:col>
          <xdr:colOff>7620</xdr:colOff>
          <xdr:row>8</xdr:row>
          <xdr:rowOff>0</xdr:rowOff>
        </xdr:to>
        <xdr:sp macro="" textlink="">
          <xdr:nvSpPr>
            <xdr:cNvPr id="3075" name="ScrollBar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15240</xdr:rowOff>
        </xdr:from>
        <xdr:to>
          <xdr:col>5</xdr:col>
          <xdr:colOff>7620</xdr:colOff>
          <xdr:row>10</xdr:row>
          <xdr:rowOff>0</xdr:rowOff>
        </xdr:to>
        <xdr:sp macro="" textlink="">
          <xdr:nvSpPr>
            <xdr:cNvPr id="3076" name="ScrollBar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15240</xdr:rowOff>
        </xdr:from>
        <xdr:to>
          <xdr:col>8</xdr:col>
          <xdr:colOff>15240</xdr:colOff>
          <xdr:row>6</xdr:row>
          <xdr:rowOff>0</xdr:rowOff>
        </xdr:to>
        <xdr:sp macro="" textlink="">
          <xdr:nvSpPr>
            <xdr:cNvPr id="3077" name="ScrollBar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7620</xdr:rowOff>
        </xdr:from>
        <xdr:to>
          <xdr:col>8</xdr:col>
          <xdr:colOff>15240</xdr:colOff>
          <xdr:row>6</xdr:row>
          <xdr:rowOff>198120</xdr:rowOff>
        </xdr:to>
        <xdr:sp macro="" textlink="">
          <xdr:nvSpPr>
            <xdr:cNvPr id="3078" name="ScrollBar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15240</xdr:rowOff>
        </xdr:from>
        <xdr:to>
          <xdr:col>8</xdr:col>
          <xdr:colOff>15240</xdr:colOff>
          <xdr:row>8</xdr:row>
          <xdr:rowOff>0</xdr:rowOff>
        </xdr:to>
        <xdr:sp macro="" textlink="">
          <xdr:nvSpPr>
            <xdr:cNvPr id="3079" name="ScrollBar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15240</xdr:rowOff>
        </xdr:from>
        <xdr:to>
          <xdr:col>8</xdr:col>
          <xdr:colOff>15240</xdr:colOff>
          <xdr:row>10</xdr:row>
          <xdr:rowOff>0</xdr:rowOff>
        </xdr:to>
        <xdr:sp macro="" textlink="">
          <xdr:nvSpPr>
            <xdr:cNvPr id="3080" name="ScrollBar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157480</xdr:colOff>
      <xdr:row>23</xdr:row>
      <xdr:rowOff>38947</xdr:rowOff>
    </xdr:from>
    <xdr:to>
      <xdr:col>7</xdr:col>
      <xdr:colOff>127000</xdr:colOff>
      <xdr:row>36</xdr:row>
      <xdr:rowOff>143933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127846</xdr:colOff>
      <xdr:row>22</xdr:row>
      <xdr:rowOff>184572</xdr:rowOff>
    </xdr:from>
    <xdr:to>
      <xdr:col>15</xdr:col>
      <xdr:colOff>491065</xdr:colOff>
      <xdr:row>37</xdr:row>
      <xdr:rowOff>76199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371475</xdr:colOff>
      <xdr:row>68</xdr:row>
      <xdr:rowOff>104775</xdr:rowOff>
    </xdr:from>
    <xdr:to>
      <xdr:col>3</xdr:col>
      <xdr:colOff>9525</xdr:colOff>
      <xdr:row>77</xdr:row>
      <xdr:rowOff>76200</xdr:rowOff>
    </xdr:to>
    <xdr:graphicFrame macro="">
      <xdr:nvGraphicFramePr>
        <xdr:cNvPr id="3077" name="圖表 5">
          <a:extLst>
            <a:ext uri="{FF2B5EF4-FFF2-40B4-BE49-F238E27FC236}">
              <a16:creationId xmlns:a16="http://schemas.microsoft.com/office/drawing/2014/main" id="{00000000-0008-0000-0200-000005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45720</xdr:colOff>
          <xdr:row>12</xdr:row>
          <xdr:rowOff>22860</xdr:rowOff>
        </xdr:from>
        <xdr:to>
          <xdr:col>4</xdr:col>
          <xdr:colOff>0</xdr:colOff>
          <xdr:row>13</xdr:row>
          <xdr:rowOff>15240</xdr:rowOff>
        </xdr:to>
        <xdr:sp macro="" textlink="">
          <xdr:nvSpPr>
            <xdr:cNvPr id="4097" name="ScrollBar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4338CCCE-2E12-41AF-9A4F-1878BDF01D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480060</xdr:colOff>
      <xdr:row>6</xdr:row>
      <xdr:rowOff>106680</xdr:rowOff>
    </xdr:from>
    <xdr:to>
      <xdr:col>19</xdr:col>
      <xdr:colOff>175260</xdr:colOff>
      <xdr:row>22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3554AF0-BB26-4DF7-B558-CA5E7D9805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13" Type="http://schemas.openxmlformats.org/officeDocument/2006/relationships/control" Target="../activeX/activeX7.xml"/><Relationship Id="rId18" Type="http://schemas.openxmlformats.org/officeDocument/2006/relationships/image" Target="../media/image9.emf"/><Relationship Id="rId3" Type="http://schemas.openxmlformats.org/officeDocument/2006/relationships/control" Target="../activeX/activeX2.xml"/><Relationship Id="rId7" Type="http://schemas.openxmlformats.org/officeDocument/2006/relationships/control" Target="../activeX/activeX4.xml"/><Relationship Id="rId12" Type="http://schemas.openxmlformats.org/officeDocument/2006/relationships/image" Target="../media/image6.emf"/><Relationship Id="rId17" Type="http://schemas.openxmlformats.org/officeDocument/2006/relationships/control" Target="../activeX/activeX9.xml"/><Relationship Id="rId2" Type="http://schemas.openxmlformats.org/officeDocument/2006/relationships/vmlDrawing" Target="../drawings/vmlDrawing2.vml"/><Relationship Id="rId16" Type="http://schemas.openxmlformats.org/officeDocument/2006/relationships/image" Target="../media/image8.emf"/><Relationship Id="rId1" Type="http://schemas.openxmlformats.org/officeDocument/2006/relationships/drawing" Target="../drawings/drawing3.xml"/><Relationship Id="rId6" Type="http://schemas.openxmlformats.org/officeDocument/2006/relationships/image" Target="../media/image3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5" Type="http://schemas.openxmlformats.org/officeDocument/2006/relationships/control" Target="../activeX/activeX8.xml"/><Relationship Id="rId10" Type="http://schemas.openxmlformats.org/officeDocument/2006/relationships/image" Target="../media/image5.emf"/><Relationship Id="rId4" Type="http://schemas.openxmlformats.org/officeDocument/2006/relationships/image" Target="../media/image2.emf"/><Relationship Id="rId9" Type="http://schemas.openxmlformats.org/officeDocument/2006/relationships/control" Target="../activeX/activeX5.xml"/><Relationship Id="rId14" Type="http://schemas.openxmlformats.org/officeDocument/2006/relationships/image" Target="../media/image7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image" Target="../media/image10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65"/>
  <sheetViews>
    <sheetView workbookViewId="0">
      <selection activeCell="G4" sqref="G4"/>
    </sheetView>
  </sheetViews>
  <sheetFormatPr defaultColWidth="9" defaultRowHeight="13.2" x14ac:dyDescent="0.25"/>
  <cols>
    <col min="1" max="1" width="25.33203125" style="15" customWidth="1"/>
    <col min="2" max="3" width="10.88671875" style="15" customWidth="1"/>
    <col min="4" max="4" width="2.21875" style="15" customWidth="1"/>
    <col min="5" max="5" width="10.88671875" style="15" customWidth="1"/>
    <col min="6" max="16384" width="9" style="15"/>
  </cols>
  <sheetData>
    <row r="1" spans="1:6" x14ac:dyDescent="0.25">
      <c r="A1" s="14" t="s">
        <v>37</v>
      </c>
    </row>
    <row r="2" spans="1:6" ht="13.8" thickBot="1" x14ac:dyDescent="0.3">
      <c r="A2" s="15" t="s">
        <v>36</v>
      </c>
    </row>
    <row r="3" spans="1:6" ht="13.8" thickBot="1" x14ac:dyDescent="0.3">
      <c r="A3" s="16" t="s">
        <v>35</v>
      </c>
      <c r="B3" s="17"/>
      <c r="C3" s="18"/>
      <c r="D3" s="19"/>
    </row>
    <row r="4" spans="1:6" x14ac:dyDescent="0.25">
      <c r="B4" s="15" t="s">
        <v>31</v>
      </c>
      <c r="C4" s="15" t="s">
        <v>32</v>
      </c>
    </row>
    <row r="5" spans="1:6" x14ac:dyDescent="0.25">
      <c r="B5" s="15">
        <v>0.14493</v>
      </c>
      <c r="C5" s="15">
        <v>4.7809999999999998E-2</v>
      </c>
    </row>
    <row r="6" spans="1:6" x14ac:dyDescent="0.25">
      <c r="B6" s="15">
        <v>1.899E-2</v>
      </c>
      <c r="C6" s="15">
        <v>6.5500000000000003E-2</v>
      </c>
    </row>
    <row r="7" spans="1:6" x14ac:dyDescent="0.25">
      <c r="B7" s="15">
        <v>3.7269999999999998E-2</v>
      </c>
      <c r="C7" s="15">
        <v>2.1659999999999999E-2</v>
      </c>
    </row>
    <row r="8" spans="1:6" x14ac:dyDescent="0.25">
      <c r="B8" s="15">
        <v>-5.389E-2</v>
      </c>
      <c r="C8" s="15">
        <v>2.7089999999999999E-2</v>
      </c>
    </row>
    <row r="9" spans="1:6" x14ac:dyDescent="0.25">
      <c r="B9" s="15">
        <v>0.22151999999999999</v>
      </c>
      <c r="C9" s="15">
        <v>0.11201999999999999</v>
      </c>
    </row>
    <row r="10" spans="1:6" x14ac:dyDescent="0.25">
      <c r="B10" s="15">
        <v>-2.5909999999999999E-2</v>
      </c>
      <c r="C10" s="15">
        <v>-2.0830000000000001E-2</v>
      </c>
    </row>
    <row r="11" spans="1:6" x14ac:dyDescent="0.25">
      <c r="B11" s="15">
        <v>-5.3190000000000001E-2</v>
      </c>
      <c r="C11" s="15">
        <v>-5.1060000000000001E-2</v>
      </c>
    </row>
    <row r="12" spans="1:6" x14ac:dyDescent="0.25">
      <c r="B12" s="20">
        <v>-0.25</v>
      </c>
      <c r="C12" s="20">
        <v>-7.5469999999999995E-2</v>
      </c>
      <c r="D12" s="21"/>
    </row>
    <row r="13" spans="1:6" x14ac:dyDescent="0.25">
      <c r="A13" s="15" t="s">
        <v>33</v>
      </c>
      <c r="B13" s="15">
        <f>SLOPE(B5:B12,C5:C12)</f>
        <v>1.9894611933660677</v>
      </c>
    </row>
    <row r="15" spans="1:6" x14ac:dyDescent="0.25">
      <c r="A15" s="22" t="s">
        <v>34</v>
      </c>
      <c r="B15" s="23"/>
      <c r="C15" s="23"/>
      <c r="D15" s="23"/>
      <c r="E15" s="23"/>
      <c r="F15" s="24"/>
    </row>
    <row r="17" spans="1:6" x14ac:dyDescent="0.25">
      <c r="A17" s="20"/>
      <c r="B17" s="25" t="s">
        <v>0</v>
      </c>
      <c r="C17" s="25" t="s">
        <v>1</v>
      </c>
      <c r="D17" s="25"/>
      <c r="E17" s="25" t="s">
        <v>2</v>
      </c>
      <c r="F17" s="25" t="s">
        <v>3</v>
      </c>
    </row>
    <row r="19" spans="1:6" x14ac:dyDescent="0.25">
      <c r="A19" s="15" t="s">
        <v>4</v>
      </c>
      <c r="B19" s="26">
        <v>200</v>
      </c>
      <c r="C19" s="26">
        <v>200</v>
      </c>
      <c r="D19" s="26"/>
      <c r="E19" s="26">
        <v>300</v>
      </c>
      <c r="F19" s="27"/>
    </row>
    <row r="20" spans="1:6" ht="15" x14ac:dyDescent="0.4">
      <c r="A20" s="15" t="s">
        <v>5</v>
      </c>
      <c r="B20" s="28">
        <v>100</v>
      </c>
      <c r="C20" s="28">
        <v>200</v>
      </c>
      <c r="D20" s="28"/>
      <c r="E20" s="28">
        <v>200</v>
      </c>
      <c r="F20" s="27"/>
    </row>
    <row r="21" spans="1:6" x14ac:dyDescent="0.25">
      <c r="A21" s="15" t="s">
        <v>6</v>
      </c>
      <c r="B21" s="29">
        <f>B19+B20</f>
        <v>300</v>
      </c>
      <c r="C21" s="29">
        <f>C19+C20</f>
        <v>400</v>
      </c>
      <c r="D21" s="29"/>
      <c r="E21" s="29">
        <f>E19+E20</f>
        <v>500</v>
      </c>
      <c r="F21" s="30"/>
    </row>
    <row r="22" spans="1:6" x14ac:dyDescent="0.25">
      <c r="A22" s="15" t="s">
        <v>7</v>
      </c>
      <c r="B22" s="31">
        <f>B19/B21</f>
        <v>0.66666666666666663</v>
      </c>
      <c r="C22" s="31">
        <f>C19/C21</f>
        <v>0.5</v>
      </c>
      <c r="D22" s="31"/>
      <c r="E22" s="31">
        <f>E19/E21</f>
        <v>0.6</v>
      </c>
      <c r="F22" s="30"/>
    </row>
    <row r="23" spans="1:6" x14ac:dyDescent="0.25">
      <c r="F23" s="30"/>
    </row>
    <row r="24" spans="1:6" x14ac:dyDescent="0.25">
      <c r="A24" s="15" t="s">
        <v>8</v>
      </c>
      <c r="B24" s="32">
        <v>1.1000000000000001</v>
      </c>
      <c r="C24" s="32">
        <v>1.25</v>
      </c>
      <c r="D24" s="32"/>
      <c r="E24" s="32">
        <v>0.9</v>
      </c>
      <c r="F24" s="33"/>
    </row>
    <row r="25" spans="1:6" x14ac:dyDescent="0.25">
      <c r="A25" s="15" t="s">
        <v>9</v>
      </c>
      <c r="B25" s="34">
        <f>B19/(B19+B20)</f>
        <v>0.66666666666666663</v>
      </c>
      <c r="C25" s="34">
        <f>C19/(C19+C20)</f>
        <v>0.5</v>
      </c>
      <c r="D25" s="34"/>
      <c r="E25" s="34">
        <f>E19/(E19+E20)</f>
        <v>0.6</v>
      </c>
      <c r="F25" s="30"/>
    </row>
    <row r="26" spans="1:6" x14ac:dyDescent="0.25">
      <c r="A26" s="15" t="s">
        <v>10</v>
      </c>
      <c r="B26" s="30">
        <f>B25*B24</f>
        <v>0.73333333333333339</v>
      </c>
      <c r="C26" s="30">
        <f>C25*C24</f>
        <v>0.625</v>
      </c>
      <c r="D26" s="30"/>
      <c r="E26" s="30">
        <f>E25*E24</f>
        <v>0.54</v>
      </c>
      <c r="F26" s="30">
        <f>SUM(B26:E26)/3</f>
        <v>0.63277777777777777</v>
      </c>
    </row>
    <row r="27" spans="1:6" x14ac:dyDescent="0.25">
      <c r="F27" s="30"/>
    </row>
    <row r="28" spans="1:6" x14ac:dyDescent="0.25">
      <c r="A28" s="15" t="s">
        <v>11</v>
      </c>
      <c r="B28" s="30">
        <f>SUM(B26:E26)/3</f>
        <v>0.63277777777777777</v>
      </c>
      <c r="F28" s="30"/>
    </row>
    <row r="29" spans="1:6" x14ac:dyDescent="0.25">
      <c r="A29" s="15" t="s">
        <v>12</v>
      </c>
      <c r="B29" s="35">
        <f>C29/100</f>
        <v>0.31</v>
      </c>
      <c r="C29" s="15">
        <v>31</v>
      </c>
      <c r="F29" s="30"/>
    </row>
    <row r="30" spans="1:6" x14ac:dyDescent="0.25">
      <c r="A30" s="15" t="s">
        <v>13</v>
      </c>
      <c r="B30" s="30">
        <f>B28/B29</f>
        <v>2.0412186379928317</v>
      </c>
      <c r="C30" s="15" t="s">
        <v>14</v>
      </c>
    </row>
    <row r="31" spans="1:6" x14ac:dyDescent="0.25">
      <c r="B31" s="30"/>
    </row>
    <row r="32" spans="1:6" x14ac:dyDescent="0.25">
      <c r="B32" s="30"/>
    </row>
    <row r="33" spans="1:5" x14ac:dyDescent="0.25">
      <c r="A33" s="36" t="s">
        <v>38</v>
      </c>
      <c r="B33" s="30"/>
    </row>
    <row r="34" spans="1:5" x14ac:dyDescent="0.25">
      <c r="A34" s="37"/>
      <c r="B34" s="30"/>
    </row>
    <row r="35" spans="1:5" x14ac:dyDescent="0.25">
      <c r="A35" s="15" t="s">
        <v>8</v>
      </c>
      <c r="B35" s="38">
        <f>B30</f>
        <v>2.0412186379928317</v>
      </c>
    </row>
    <row r="36" spans="1:5" x14ac:dyDescent="0.25">
      <c r="A36" s="15" t="s">
        <v>15</v>
      </c>
      <c r="B36" s="39">
        <v>7.0000000000000007E-2</v>
      </c>
      <c r="C36" s="15" t="s">
        <v>16</v>
      </c>
    </row>
    <row r="37" spans="1:5" x14ac:dyDescent="0.25">
      <c r="A37" s="15" t="s">
        <v>17</v>
      </c>
      <c r="B37" s="40">
        <f>B35*B36</f>
        <v>0.14288530465949822</v>
      </c>
      <c r="C37" s="15" t="s">
        <v>18</v>
      </c>
    </row>
    <row r="38" spans="1:5" x14ac:dyDescent="0.25">
      <c r="A38" s="15" t="s">
        <v>19</v>
      </c>
      <c r="B38" s="39">
        <v>7.4999999999999997E-2</v>
      </c>
      <c r="C38" s="15" t="s">
        <v>20</v>
      </c>
    </row>
    <row r="39" spans="1:5" x14ac:dyDescent="0.25">
      <c r="A39" s="15" t="s">
        <v>21</v>
      </c>
      <c r="B39" s="41">
        <f>B38+B37</f>
        <v>0.21788530465949824</v>
      </c>
    </row>
    <row r="41" spans="1:5" x14ac:dyDescent="0.25">
      <c r="A41" s="14" t="s">
        <v>39</v>
      </c>
    </row>
    <row r="42" spans="1:5" x14ac:dyDescent="0.25">
      <c r="A42" s="15" t="s">
        <v>40</v>
      </c>
      <c r="B42" s="41">
        <v>0.09</v>
      </c>
    </row>
    <row r="43" spans="1:5" x14ac:dyDescent="0.25">
      <c r="A43" s="15" t="s">
        <v>41</v>
      </c>
      <c r="B43" s="35">
        <v>0.4</v>
      </c>
    </row>
    <row r="44" spans="1:5" x14ac:dyDescent="0.25">
      <c r="A44" s="15" t="s">
        <v>42</v>
      </c>
      <c r="B44" s="42">
        <f>B42*(1-B43)</f>
        <v>5.3999999999999999E-2</v>
      </c>
    </row>
    <row r="46" spans="1:5" x14ac:dyDescent="0.25">
      <c r="A46" s="37" t="s">
        <v>22</v>
      </c>
    </row>
    <row r="48" spans="1:5" x14ac:dyDescent="0.25">
      <c r="B48" s="38"/>
      <c r="C48" s="38"/>
      <c r="D48" s="38"/>
      <c r="E48" s="43" t="s">
        <v>23</v>
      </c>
    </row>
    <row r="49" spans="1:5" x14ac:dyDescent="0.25">
      <c r="B49" s="44" t="s">
        <v>24</v>
      </c>
      <c r="C49" s="44" t="s">
        <v>25</v>
      </c>
      <c r="D49" s="44"/>
      <c r="E49" s="44" t="s">
        <v>24</v>
      </c>
    </row>
    <row r="50" spans="1:5" x14ac:dyDescent="0.25">
      <c r="A50" s="20"/>
      <c r="B50" s="25" t="s">
        <v>26</v>
      </c>
      <c r="C50" s="25" t="s">
        <v>27</v>
      </c>
      <c r="D50" s="25"/>
      <c r="E50" s="25" t="s">
        <v>26</v>
      </c>
    </row>
    <row r="51" spans="1:5" x14ac:dyDescent="0.25">
      <c r="A51" s="15" t="s">
        <v>28</v>
      </c>
      <c r="B51" s="42">
        <f>B44</f>
        <v>5.3999999999999999E-2</v>
      </c>
      <c r="C51" s="42">
        <f>1-C52</f>
        <v>0.69</v>
      </c>
      <c r="D51" s="42"/>
      <c r="E51" s="40">
        <f>B51*C51</f>
        <v>3.7259999999999995E-2</v>
      </c>
    </row>
    <row r="52" spans="1:5" x14ac:dyDescent="0.25">
      <c r="A52" s="15" t="s">
        <v>29</v>
      </c>
      <c r="B52" s="42">
        <f>B39</f>
        <v>0.21788530465949824</v>
      </c>
      <c r="C52" s="45">
        <f>B29</f>
        <v>0.31</v>
      </c>
      <c r="D52" s="45"/>
      <c r="E52" s="40">
        <f>B52*C52</f>
        <v>6.7544444444444449E-2</v>
      </c>
    </row>
    <row r="53" spans="1:5" x14ac:dyDescent="0.25">
      <c r="A53" s="15" t="s">
        <v>30</v>
      </c>
      <c r="C53" s="45">
        <f>C51+C52</f>
        <v>1</v>
      </c>
      <c r="E53" s="41">
        <f>E51+E52</f>
        <v>0.10480444444444445</v>
      </c>
    </row>
    <row r="55" spans="1:5" x14ac:dyDescent="0.25">
      <c r="A55" s="15" t="s">
        <v>44</v>
      </c>
    </row>
    <row r="56" spans="1:5" x14ac:dyDescent="0.25">
      <c r="B56" s="15" t="s">
        <v>43</v>
      </c>
      <c r="C56" s="41">
        <f>E53</f>
        <v>0.10480444444444445</v>
      </c>
    </row>
    <row r="57" spans="1:5" x14ac:dyDescent="0.25">
      <c r="B57" s="15">
        <v>0.1</v>
      </c>
      <c r="C57" s="40">
        <f t="dataTable" ref="C57:C65" dt2D="0" dtr="0" r1="B29"/>
        <v>0.10039444444444445</v>
      </c>
    </row>
    <row r="58" spans="1:5" x14ac:dyDescent="0.25">
      <c r="B58" s="15">
        <v>0.2</v>
      </c>
      <c r="C58" s="40">
        <v>0.10249444444444446</v>
      </c>
    </row>
    <row r="59" spans="1:5" x14ac:dyDescent="0.25">
      <c r="B59" s="15">
        <v>0.3</v>
      </c>
      <c r="C59" s="40">
        <v>0.10459444444444445</v>
      </c>
    </row>
    <row r="60" spans="1:5" x14ac:dyDescent="0.25">
      <c r="B60" s="15">
        <v>0.4</v>
      </c>
      <c r="C60" s="40">
        <v>0.10669444444444444</v>
      </c>
    </row>
    <row r="61" spans="1:5" x14ac:dyDescent="0.25">
      <c r="B61" s="15">
        <v>0.5</v>
      </c>
      <c r="C61" s="40">
        <v>0.10879444444444444</v>
      </c>
    </row>
    <row r="62" spans="1:5" x14ac:dyDescent="0.25">
      <c r="B62" s="15">
        <v>0.6</v>
      </c>
      <c r="C62" s="40">
        <v>0.11089444444444443</v>
      </c>
    </row>
    <row r="63" spans="1:5" x14ac:dyDescent="0.25">
      <c r="B63" s="15">
        <v>0.7</v>
      </c>
      <c r="C63" s="40">
        <v>0.11299444444444444</v>
      </c>
    </row>
    <row r="64" spans="1:5" x14ac:dyDescent="0.25">
      <c r="B64" s="15">
        <v>0.8</v>
      </c>
      <c r="C64" s="40">
        <v>0.11509444444444444</v>
      </c>
    </row>
    <row r="65" spans="2:3" x14ac:dyDescent="0.25">
      <c r="B65" s="15">
        <v>0.9</v>
      </c>
      <c r="C65" s="40">
        <v>0.11719444444444445</v>
      </c>
    </row>
  </sheetData>
  <phoneticPr fontId="2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pinButton1">
          <controlPr defaultSize="0" autoLine="0" linkedCell="C29" r:id="rId5">
            <anchor moveWithCells="1">
              <from>
                <xdr:col>3</xdr:col>
                <xdr:colOff>7620</xdr:colOff>
                <xdr:row>51</xdr:row>
                <xdr:rowOff>0</xdr:rowOff>
              </from>
              <to>
                <xdr:col>4</xdr:col>
                <xdr:colOff>22860</xdr:colOff>
                <xdr:row>52</xdr:row>
                <xdr:rowOff>38100</xdr:rowOff>
              </to>
            </anchor>
          </controlPr>
        </control>
      </mc:Choice>
      <mc:Fallback>
        <control shapeId="1025" r:id="rId4" name="Spin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22"/>
  <sheetViews>
    <sheetView topLeftCell="A13" zoomScale="90" zoomScaleNormal="90" workbookViewId="0">
      <selection activeCell="H33" sqref="H33"/>
    </sheetView>
  </sheetViews>
  <sheetFormatPr defaultRowHeight="16.2" x14ac:dyDescent="0.3"/>
  <cols>
    <col min="5" max="5" width="12" customWidth="1"/>
    <col min="8" max="8" width="11.88671875" customWidth="1"/>
  </cols>
  <sheetData>
    <row r="1" spans="1:14" x14ac:dyDescent="0.3">
      <c r="A1" s="6" t="s">
        <v>45</v>
      </c>
      <c r="B1" s="7"/>
    </row>
    <row r="2" spans="1:14" x14ac:dyDescent="0.3">
      <c r="B2" s="3" t="s">
        <v>46</v>
      </c>
    </row>
    <row r="3" spans="1:14" x14ac:dyDescent="0.3">
      <c r="B3" s="3" t="s">
        <v>47</v>
      </c>
    </row>
    <row r="4" spans="1:14" ht="18" x14ac:dyDescent="0.4">
      <c r="B4" s="3" t="s">
        <v>48</v>
      </c>
    </row>
    <row r="5" spans="1:14" x14ac:dyDescent="0.3">
      <c r="D5" s="3" t="s">
        <v>53</v>
      </c>
      <c r="G5" s="3" t="s">
        <v>54</v>
      </c>
      <c r="L5" s="3"/>
      <c r="M5" s="3"/>
    </row>
    <row r="6" spans="1:14" x14ac:dyDescent="0.3">
      <c r="B6" s="3" t="s">
        <v>49</v>
      </c>
      <c r="D6">
        <f>L6/2</f>
        <v>9</v>
      </c>
      <c r="F6" s="12" t="s">
        <v>103</v>
      </c>
      <c r="G6">
        <f>M6/2</f>
        <v>5.5</v>
      </c>
      <c r="I6" s="12" t="s">
        <v>103</v>
      </c>
      <c r="K6" s="3"/>
      <c r="L6">
        <v>18</v>
      </c>
      <c r="M6">
        <v>11</v>
      </c>
    </row>
    <row r="7" spans="1:14" x14ac:dyDescent="0.3">
      <c r="B7" s="3" t="s">
        <v>50</v>
      </c>
      <c r="D7" s="8">
        <f>L7/10</f>
        <v>1.2</v>
      </c>
      <c r="F7" s="11" t="s">
        <v>104</v>
      </c>
      <c r="G7">
        <f>M7/10</f>
        <v>1.4</v>
      </c>
      <c r="I7" s="11" t="s">
        <v>104</v>
      </c>
      <c r="K7" s="3"/>
      <c r="L7">
        <v>12</v>
      </c>
      <c r="M7">
        <v>14</v>
      </c>
    </row>
    <row r="8" spans="1:14" x14ac:dyDescent="0.3">
      <c r="B8" s="3" t="s">
        <v>51</v>
      </c>
      <c r="D8">
        <v>265000</v>
      </c>
      <c r="F8" t="s">
        <v>105</v>
      </c>
      <c r="G8">
        <v>150000</v>
      </c>
      <c r="I8" t="s">
        <v>105</v>
      </c>
      <c r="K8" s="3"/>
    </row>
    <row r="9" spans="1:14" x14ac:dyDescent="0.3">
      <c r="B9" s="3" t="s">
        <v>52</v>
      </c>
      <c r="D9">
        <v>200000</v>
      </c>
      <c r="G9">
        <v>200000</v>
      </c>
      <c r="K9" s="3"/>
    </row>
    <row r="10" spans="1:14" x14ac:dyDescent="0.3">
      <c r="B10" s="3" t="s">
        <v>41</v>
      </c>
      <c r="D10" s="4">
        <f>L10/100</f>
        <v>0.55000000000000004</v>
      </c>
      <c r="F10" t="s">
        <v>107</v>
      </c>
      <c r="G10" s="4">
        <f>M10/100</f>
        <v>0.6</v>
      </c>
      <c r="I10" t="s">
        <v>107</v>
      </c>
      <c r="K10" s="3"/>
      <c r="L10">
        <v>55</v>
      </c>
      <c r="M10">
        <v>60</v>
      </c>
    </row>
    <row r="12" spans="1:14" x14ac:dyDescent="0.3">
      <c r="A12" s="47" t="s">
        <v>62</v>
      </c>
      <c r="B12" s="47"/>
      <c r="C12" s="47"/>
      <c r="D12" s="47"/>
      <c r="E12" s="47"/>
      <c r="F12" s="47"/>
      <c r="G12" s="46"/>
      <c r="I12" s="47" t="s">
        <v>63</v>
      </c>
      <c r="J12" s="48"/>
      <c r="K12" s="48"/>
      <c r="L12" s="48"/>
      <c r="M12" s="48"/>
      <c r="N12" s="48"/>
    </row>
    <row r="13" spans="1:14" x14ac:dyDescent="0.3">
      <c r="A13" s="9" t="s">
        <v>56</v>
      </c>
      <c r="B13" s="9" t="s">
        <v>57</v>
      </c>
      <c r="C13" s="9" t="s">
        <v>58</v>
      </c>
      <c r="D13" s="9" t="s">
        <v>59</v>
      </c>
      <c r="E13" s="9" t="s">
        <v>60</v>
      </c>
      <c r="F13" s="9" t="s">
        <v>61</v>
      </c>
      <c r="I13" s="10" t="s">
        <v>56</v>
      </c>
      <c r="J13" s="10" t="s">
        <v>57</v>
      </c>
      <c r="K13" s="10" t="s">
        <v>58</v>
      </c>
      <c r="L13" s="10" t="s">
        <v>59</v>
      </c>
      <c r="M13" s="10" t="s">
        <v>60</v>
      </c>
      <c r="N13" s="10" t="s">
        <v>61</v>
      </c>
    </row>
    <row r="14" spans="1:14" x14ac:dyDescent="0.3">
      <c r="A14">
        <v>0</v>
      </c>
      <c r="B14">
        <f>$D$6*A14</f>
        <v>0</v>
      </c>
      <c r="C14">
        <f>$D$8+$D$7*A14</f>
        <v>265000</v>
      </c>
      <c r="D14">
        <f>B14-C14</f>
        <v>-265000</v>
      </c>
      <c r="E14">
        <f>D14*(1-$D$10)</f>
        <v>-119249.99999999999</v>
      </c>
      <c r="G14" s="5"/>
      <c r="I14">
        <v>0</v>
      </c>
      <c r="J14">
        <f>$G$6*I14</f>
        <v>0</v>
      </c>
      <c r="K14">
        <f>$G$8+$G$7*I14</f>
        <v>150000</v>
      </c>
      <c r="L14">
        <f>J14-K14</f>
        <v>-150000</v>
      </c>
      <c r="M14">
        <f>L14*(1-$G$10)</f>
        <v>-60000</v>
      </c>
      <c r="N14" s="5"/>
    </row>
    <row r="15" spans="1:14" x14ac:dyDescent="0.3">
      <c r="A15">
        <v>40000</v>
      </c>
      <c r="B15">
        <f t="shared" ref="B15:B18" si="0">$D$6*A15</f>
        <v>360000</v>
      </c>
      <c r="C15">
        <f t="shared" ref="C15:C18" si="1">$D$8+$D$7*A15</f>
        <v>313000</v>
      </c>
      <c r="D15">
        <f t="shared" ref="D15:D18" si="2">B15-C15</f>
        <v>47000</v>
      </c>
      <c r="E15">
        <f t="shared" ref="E15:E18" si="3">D15*(1-$D$10)</f>
        <v>21149.999999999996</v>
      </c>
      <c r="G15" s="5"/>
      <c r="I15">
        <v>40000</v>
      </c>
      <c r="J15">
        <f t="shared" ref="J15:J18" si="4">$G$6*I15</f>
        <v>220000</v>
      </c>
      <c r="K15">
        <f t="shared" ref="K15:K17" si="5">$G$8+$G$7*I15</f>
        <v>206000</v>
      </c>
      <c r="L15">
        <f t="shared" ref="L15:L18" si="6">J15-K15</f>
        <v>14000</v>
      </c>
      <c r="M15">
        <f t="shared" ref="M15:M18" si="7">L15*(1-$G$10)</f>
        <v>5600</v>
      </c>
      <c r="N15" s="5"/>
    </row>
    <row r="16" spans="1:14" x14ac:dyDescent="0.3">
      <c r="A16">
        <v>100000</v>
      </c>
      <c r="B16">
        <f t="shared" si="0"/>
        <v>900000</v>
      </c>
      <c r="C16">
        <f t="shared" si="1"/>
        <v>385000</v>
      </c>
      <c r="D16">
        <f t="shared" si="2"/>
        <v>515000</v>
      </c>
      <c r="E16">
        <f t="shared" si="3"/>
        <v>231749.99999999997</v>
      </c>
      <c r="G16" s="5"/>
      <c r="I16">
        <v>100000</v>
      </c>
      <c r="J16">
        <f t="shared" si="4"/>
        <v>550000</v>
      </c>
      <c r="K16">
        <f t="shared" si="5"/>
        <v>290000</v>
      </c>
      <c r="L16">
        <f t="shared" si="6"/>
        <v>260000</v>
      </c>
      <c r="M16">
        <f t="shared" si="7"/>
        <v>104000</v>
      </c>
      <c r="N16" s="5"/>
    </row>
    <row r="17" spans="1:14" x14ac:dyDescent="0.3">
      <c r="A17">
        <v>160000</v>
      </c>
      <c r="B17">
        <f t="shared" si="0"/>
        <v>1440000</v>
      </c>
      <c r="C17">
        <f t="shared" si="1"/>
        <v>457000</v>
      </c>
      <c r="D17">
        <f t="shared" si="2"/>
        <v>983000</v>
      </c>
      <c r="E17">
        <f t="shared" si="3"/>
        <v>442349.99999999994</v>
      </c>
      <c r="G17" s="5"/>
      <c r="I17">
        <v>160000</v>
      </c>
      <c r="J17">
        <f t="shared" si="4"/>
        <v>880000</v>
      </c>
      <c r="K17">
        <f t="shared" si="5"/>
        <v>374000</v>
      </c>
      <c r="L17">
        <f t="shared" si="6"/>
        <v>506000</v>
      </c>
      <c r="M17">
        <f t="shared" si="7"/>
        <v>202400</v>
      </c>
      <c r="N17" s="5"/>
    </row>
    <row r="18" spans="1:14" x14ac:dyDescent="0.3">
      <c r="A18">
        <v>200000</v>
      </c>
      <c r="B18">
        <f t="shared" si="0"/>
        <v>1800000</v>
      </c>
      <c r="C18">
        <f t="shared" si="1"/>
        <v>505000</v>
      </c>
      <c r="D18">
        <f t="shared" si="2"/>
        <v>1295000</v>
      </c>
      <c r="E18">
        <f t="shared" si="3"/>
        <v>582750</v>
      </c>
      <c r="G18" s="5"/>
      <c r="I18">
        <v>200000</v>
      </c>
      <c r="J18">
        <f t="shared" si="4"/>
        <v>1100000</v>
      </c>
      <c r="K18">
        <f>$G$8+$G$7*I18</f>
        <v>430000</v>
      </c>
      <c r="L18">
        <f t="shared" si="6"/>
        <v>670000</v>
      </c>
      <c r="M18">
        <f t="shared" si="7"/>
        <v>268000</v>
      </c>
      <c r="N18" s="5"/>
    </row>
    <row r="20" spans="1:14" x14ac:dyDescent="0.3">
      <c r="A20" t="s">
        <v>108</v>
      </c>
      <c r="B20" t="s">
        <v>109</v>
      </c>
      <c r="D20" t="s">
        <v>113</v>
      </c>
      <c r="E20" t="str">
        <f>"QBE="&amp;TEXT(F21,0)</f>
        <v>QBE=33974</v>
      </c>
      <c r="K20" t="s">
        <v>113</v>
      </c>
      <c r="L20" t="str">
        <f>"QBE="&amp;TEXT(M21,0)</f>
        <v>QBE=36585</v>
      </c>
    </row>
    <row r="21" spans="1:14" x14ac:dyDescent="0.3">
      <c r="A21" t="s">
        <v>110</v>
      </c>
      <c r="B21" t="s">
        <v>111</v>
      </c>
      <c r="D21" t="s">
        <v>114</v>
      </c>
      <c r="E21">
        <f>D8/(D6-D7)</f>
        <v>33974.358974358976</v>
      </c>
      <c r="F21">
        <f>E21</f>
        <v>33974.358974358976</v>
      </c>
      <c r="K21" t="s">
        <v>114</v>
      </c>
      <c r="L21">
        <f>G8/(G6-G7)</f>
        <v>36585.365853658543</v>
      </c>
      <c r="M21">
        <f>L21</f>
        <v>36585.365853658543</v>
      </c>
    </row>
    <row r="22" spans="1:14" x14ac:dyDescent="0.3">
      <c r="B22" t="s">
        <v>112</v>
      </c>
      <c r="D22" t="s">
        <v>115</v>
      </c>
      <c r="E22">
        <v>0</v>
      </c>
      <c r="F22">
        <f>F21*D6</f>
        <v>305769.23076923081</v>
      </c>
      <c r="K22" t="s">
        <v>115</v>
      </c>
      <c r="L22">
        <v>0</v>
      </c>
      <c r="M22">
        <f>M21*G6</f>
        <v>201219.51219512199</v>
      </c>
    </row>
  </sheetData>
  <mergeCells count="2">
    <mergeCell ref="I12:N12"/>
    <mergeCell ref="A12:F12"/>
  </mergeCells>
  <phoneticPr fontId="2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3073" r:id="rId3" name="ScrollBar1">
          <controlPr defaultSize="0" autoLine="0" linkedCell="L6" r:id="rId4">
            <anchor moveWithCells="1">
              <from>
                <xdr:col>4</xdr:col>
                <xdr:colOff>0</xdr:colOff>
                <xdr:row>5</xdr:row>
                <xdr:rowOff>7620</xdr:rowOff>
              </from>
              <to>
                <xdr:col>5</xdr:col>
                <xdr:colOff>7620</xdr:colOff>
                <xdr:row>5</xdr:row>
                <xdr:rowOff>198120</xdr:rowOff>
              </to>
            </anchor>
          </controlPr>
        </control>
      </mc:Choice>
      <mc:Fallback>
        <control shapeId="3073" r:id="rId3" name="ScrollBar1"/>
      </mc:Fallback>
    </mc:AlternateContent>
    <mc:AlternateContent xmlns:mc="http://schemas.openxmlformats.org/markup-compatibility/2006">
      <mc:Choice Requires="x14">
        <control shapeId="3074" r:id="rId5" name="ScrollBar2">
          <controlPr defaultSize="0" autoLine="0" linkedCell="L7" r:id="rId6">
            <anchor moveWithCells="1">
              <from>
                <xdr:col>4</xdr:col>
                <xdr:colOff>0</xdr:colOff>
                <xdr:row>6</xdr:row>
                <xdr:rowOff>15240</xdr:rowOff>
              </from>
              <to>
                <xdr:col>5</xdr:col>
                <xdr:colOff>7620</xdr:colOff>
                <xdr:row>7</xdr:row>
                <xdr:rowOff>0</xdr:rowOff>
              </to>
            </anchor>
          </controlPr>
        </control>
      </mc:Choice>
      <mc:Fallback>
        <control shapeId="3074" r:id="rId5" name="ScrollBar2"/>
      </mc:Fallback>
    </mc:AlternateContent>
    <mc:AlternateContent xmlns:mc="http://schemas.openxmlformats.org/markup-compatibility/2006">
      <mc:Choice Requires="x14">
        <control shapeId="3075" r:id="rId7" name="ScrollBar3">
          <controlPr defaultSize="0" autoLine="0" linkedCell="D8" r:id="rId8">
            <anchor moveWithCells="1">
              <from>
                <xdr:col>4</xdr:col>
                <xdr:colOff>0</xdr:colOff>
                <xdr:row>7</xdr:row>
                <xdr:rowOff>15240</xdr:rowOff>
              </from>
              <to>
                <xdr:col>5</xdr:col>
                <xdr:colOff>7620</xdr:colOff>
                <xdr:row>8</xdr:row>
                <xdr:rowOff>0</xdr:rowOff>
              </to>
            </anchor>
          </controlPr>
        </control>
      </mc:Choice>
      <mc:Fallback>
        <control shapeId="3075" r:id="rId7" name="ScrollBar3"/>
      </mc:Fallback>
    </mc:AlternateContent>
    <mc:AlternateContent xmlns:mc="http://schemas.openxmlformats.org/markup-compatibility/2006">
      <mc:Choice Requires="x14">
        <control shapeId="3076" r:id="rId9" name="ScrollBar4">
          <controlPr defaultSize="0" autoLine="0" linkedCell="L10" r:id="rId10">
            <anchor moveWithCells="1">
              <from>
                <xdr:col>4</xdr:col>
                <xdr:colOff>0</xdr:colOff>
                <xdr:row>9</xdr:row>
                <xdr:rowOff>15240</xdr:rowOff>
              </from>
              <to>
                <xdr:col>5</xdr:col>
                <xdr:colOff>7620</xdr:colOff>
                <xdr:row>10</xdr:row>
                <xdr:rowOff>0</xdr:rowOff>
              </to>
            </anchor>
          </controlPr>
        </control>
      </mc:Choice>
      <mc:Fallback>
        <control shapeId="3076" r:id="rId9" name="ScrollBar4"/>
      </mc:Fallback>
    </mc:AlternateContent>
    <mc:AlternateContent xmlns:mc="http://schemas.openxmlformats.org/markup-compatibility/2006">
      <mc:Choice Requires="x14">
        <control shapeId="3077" r:id="rId11" name="ScrollBar5">
          <controlPr defaultSize="0" autoLine="0" linkedCell="M6" r:id="rId12">
            <anchor moveWithCells="1">
              <from>
                <xdr:col>7</xdr:col>
                <xdr:colOff>0</xdr:colOff>
                <xdr:row>5</xdr:row>
                <xdr:rowOff>15240</xdr:rowOff>
              </from>
              <to>
                <xdr:col>8</xdr:col>
                <xdr:colOff>15240</xdr:colOff>
                <xdr:row>6</xdr:row>
                <xdr:rowOff>0</xdr:rowOff>
              </to>
            </anchor>
          </controlPr>
        </control>
      </mc:Choice>
      <mc:Fallback>
        <control shapeId="3077" r:id="rId11" name="ScrollBar5"/>
      </mc:Fallback>
    </mc:AlternateContent>
    <mc:AlternateContent xmlns:mc="http://schemas.openxmlformats.org/markup-compatibility/2006">
      <mc:Choice Requires="x14">
        <control shapeId="3078" r:id="rId13" name="ScrollBar6">
          <controlPr defaultSize="0" autoLine="0" linkedCell="M7" r:id="rId14">
            <anchor moveWithCells="1">
              <from>
                <xdr:col>7</xdr:col>
                <xdr:colOff>0</xdr:colOff>
                <xdr:row>6</xdr:row>
                <xdr:rowOff>7620</xdr:rowOff>
              </from>
              <to>
                <xdr:col>8</xdr:col>
                <xdr:colOff>15240</xdr:colOff>
                <xdr:row>6</xdr:row>
                <xdr:rowOff>198120</xdr:rowOff>
              </to>
            </anchor>
          </controlPr>
        </control>
      </mc:Choice>
      <mc:Fallback>
        <control shapeId="3078" r:id="rId13" name="ScrollBar6"/>
      </mc:Fallback>
    </mc:AlternateContent>
    <mc:AlternateContent xmlns:mc="http://schemas.openxmlformats.org/markup-compatibility/2006">
      <mc:Choice Requires="x14">
        <control shapeId="3079" r:id="rId15" name="ScrollBar7">
          <controlPr defaultSize="0" autoLine="0" linkedCell="G8" r:id="rId16">
            <anchor moveWithCells="1">
              <from>
                <xdr:col>7</xdr:col>
                <xdr:colOff>0</xdr:colOff>
                <xdr:row>7</xdr:row>
                <xdr:rowOff>15240</xdr:rowOff>
              </from>
              <to>
                <xdr:col>8</xdr:col>
                <xdr:colOff>15240</xdr:colOff>
                <xdr:row>8</xdr:row>
                <xdr:rowOff>0</xdr:rowOff>
              </to>
            </anchor>
          </controlPr>
        </control>
      </mc:Choice>
      <mc:Fallback>
        <control shapeId="3079" r:id="rId15" name="ScrollBar7"/>
      </mc:Fallback>
    </mc:AlternateContent>
    <mc:AlternateContent xmlns:mc="http://schemas.openxmlformats.org/markup-compatibility/2006">
      <mc:Choice Requires="x14">
        <control shapeId="3080" r:id="rId17" name="ScrollBar8">
          <controlPr defaultSize="0" autoLine="0" linkedCell="M10" r:id="rId18">
            <anchor moveWithCells="1">
              <from>
                <xdr:col>7</xdr:col>
                <xdr:colOff>0</xdr:colOff>
                <xdr:row>9</xdr:row>
                <xdr:rowOff>15240</xdr:rowOff>
              </from>
              <to>
                <xdr:col>8</xdr:col>
                <xdr:colOff>15240</xdr:colOff>
                <xdr:row>10</xdr:row>
                <xdr:rowOff>0</xdr:rowOff>
              </to>
            </anchor>
          </controlPr>
        </control>
      </mc:Choice>
      <mc:Fallback>
        <control shapeId="3080" r:id="rId17" name="ScrollBar8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P320"/>
  <sheetViews>
    <sheetView tabSelected="1" workbookViewId="0">
      <selection activeCell="L45" sqref="L45"/>
    </sheetView>
  </sheetViews>
  <sheetFormatPr defaultRowHeight="16.2" x14ac:dyDescent="0.3"/>
  <cols>
    <col min="1" max="1" width="28" bestFit="1" customWidth="1"/>
    <col min="8" max="8" width="9.109375" customWidth="1"/>
    <col min="15" max="16" width="9.109375" customWidth="1"/>
  </cols>
  <sheetData>
    <row r="1" spans="1:16" x14ac:dyDescent="0.3">
      <c r="A1" s="3" t="s">
        <v>64</v>
      </c>
      <c r="F1" s="1">
        <v>0.4</v>
      </c>
      <c r="N1" t="s">
        <v>116</v>
      </c>
      <c r="O1" s="3" t="s">
        <v>84</v>
      </c>
      <c r="P1" s="3" t="str">
        <f>"debt="&amp;TEXT(B13,"0.00")</f>
        <v>debt=0.20</v>
      </c>
    </row>
    <row r="2" spans="1:16" x14ac:dyDescent="0.3">
      <c r="A2" s="3" t="s">
        <v>77</v>
      </c>
      <c r="B2" s="3" t="s">
        <v>83</v>
      </c>
      <c r="C2" t="s">
        <v>55</v>
      </c>
      <c r="D2" s="3" t="s">
        <v>69</v>
      </c>
      <c r="E2" s="3" t="s">
        <v>70</v>
      </c>
      <c r="F2" s="3" t="s">
        <v>71</v>
      </c>
      <c r="G2" s="3" t="s">
        <v>60</v>
      </c>
      <c r="H2" s="3" t="s">
        <v>61</v>
      </c>
      <c r="I2" s="3"/>
      <c r="N2" s="4">
        <v>-1</v>
      </c>
      <c r="O2" s="2">
        <f>NORMDIST(N2,$H$8,$H$9,FALSE)</f>
        <v>1.0621858180870183E-12</v>
      </c>
      <c r="P2" s="2">
        <f>_xlfn.NORM.DIST(N2,$H$25,$H$26,FALSE)</f>
        <v>1.5157585283241864E-8</v>
      </c>
    </row>
    <row r="3" spans="1:16" x14ac:dyDescent="0.3">
      <c r="A3" s="3" t="s">
        <v>78</v>
      </c>
      <c r="B3">
        <v>0.05</v>
      </c>
      <c r="C3">
        <v>-60000</v>
      </c>
      <c r="D3">
        <v>0</v>
      </c>
      <c r="E3">
        <f>(C3-D3)</f>
        <v>-60000</v>
      </c>
      <c r="F3">
        <f>E3*$F$1</f>
        <v>-24000</v>
      </c>
      <c r="G3">
        <f>E3-F3</f>
        <v>-36000</v>
      </c>
      <c r="H3" s="5">
        <f>G3/$B$14</f>
        <v>-0.18</v>
      </c>
      <c r="I3" s="2"/>
      <c r="J3" s="2"/>
      <c r="N3" s="1">
        <v>-0.98</v>
      </c>
      <c r="O3" s="2">
        <f t="shared" ref="O3:O66" si="0">NORMDIST(N3,$H$8,$H$9,FALSE)</f>
        <v>2.9190488858979094E-12</v>
      </c>
      <c r="P3" s="2">
        <f t="shared" ref="P3:P66" si="1">_xlfn.NORM.DIST(N3,$H$25,$H$26,FALSE)</f>
        <v>2.9202046438753667E-8</v>
      </c>
    </row>
    <row r="4" spans="1:16" x14ac:dyDescent="0.3">
      <c r="A4" s="3" t="s">
        <v>79</v>
      </c>
      <c r="B4">
        <v>0.2</v>
      </c>
      <c r="C4">
        <v>-20000</v>
      </c>
      <c r="D4">
        <v>0</v>
      </c>
      <c r="E4">
        <f t="shared" ref="E4:E7" si="2">(C4-D4)</f>
        <v>-20000</v>
      </c>
      <c r="F4">
        <f t="shared" ref="F4:F7" si="3">E4*$F$1</f>
        <v>-8000</v>
      </c>
      <c r="G4">
        <f t="shared" ref="G4:G7" si="4">E4-F4</f>
        <v>-12000</v>
      </c>
      <c r="H4" s="5">
        <f t="shared" ref="H4:H7" si="5">G4/$B$14</f>
        <v>-0.06</v>
      </c>
      <c r="I4" s="2"/>
      <c r="J4" s="2"/>
      <c r="N4" s="4">
        <v>-0.96</v>
      </c>
      <c r="O4" s="2">
        <f t="shared" si="0"/>
        <v>7.8771949108423707E-12</v>
      </c>
      <c r="P4" s="2">
        <f t="shared" si="1"/>
        <v>5.560754736711183E-8</v>
      </c>
    </row>
    <row r="5" spans="1:16" x14ac:dyDescent="0.3">
      <c r="A5" s="3" t="s">
        <v>80</v>
      </c>
      <c r="B5">
        <v>0.5</v>
      </c>
      <c r="C5">
        <v>40000</v>
      </c>
      <c r="D5">
        <v>0</v>
      </c>
      <c r="E5">
        <f t="shared" si="2"/>
        <v>40000</v>
      </c>
      <c r="F5">
        <f t="shared" si="3"/>
        <v>16000</v>
      </c>
      <c r="G5">
        <f t="shared" si="4"/>
        <v>24000</v>
      </c>
      <c r="H5" s="5">
        <f t="shared" si="5"/>
        <v>0.12</v>
      </c>
      <c r="I5" s="2"/>
      <c r="J5" s="2"/>
      <c r="N5" s="1">
        <v>-0.94</v>
      </c>
      <c r="O5" s="2">
        <f t="shared" si="0"/>
        <v>2.0873302581446027E-11</v>
      </c>
      <c r="P5" s="2">
        <f t="shared" si="1"/>
        <v>1.0466256646566436E-7</v>
      </c>
    </row>
    <row r="6" spans="1:16" x14ac:dyDescent="0.3">
      <c r="A6" s="3" t="s">
        <v>81</v>
      </c>
      <c r="B6">
        <v>0.2</v>
      </c>
      <c r="C6">
        <v>100000</v>
      </c>
      <c r="D6">
        <v>0</v>
      </c>
      <c r="E6">
        <f t="shared" si="2"/>
        <v>100000</v>
      </c>
      <c r="F6">
        <f t="shared" si="3"/>
        <v>40000</v>
      </c>
      <c r="G6">
        <f t="shared" si="4"/>
        <v>60000</v>
      </c>
      <c r="H6" s="5">
        <f t="shared" si="5"/>
        <v>0.3</v>
      </c>
      <c r="I6" s="2"/>
      <c r="J6" s="2"/>
      <c r="N6" s="4">
        <v>-0.92</v>
      </c>
      <c r="O6" s="2">
        <f t="shared" si="0"/>
        <v>5.431253823313448E-11</v>
      </c>
      <c r="P6" s="2">
        <f t="shared" si="1"/>
        <v>1.9470908053730619E-7</v>
      </c>
    </row>
    <row r="7" spans="1:16" x14ac:dyDescent="0.3">
      <c r="A7" s="3" t="s">
        <v>82</v>
      </c>
      <c r="B7">
        <v>0.05</v>
      </c>
      <c r="C7">
        <v>140000</v>
      </c>
      <c r="D7">
        <v>0</v>
      </c>
      <c r="E7">
        <f t="shared" si="2"/>
        <v>140000</v>
      </c>
      <c r="F7">
        <f t="shared" si="3"/>
        <v>56000</v>
      </c>
      <c r="G7">
        <f t="shared" si="4"/>
        <v>84000</v>
      </c>
      <c r="H7" s="5">
        <f t="shared" si="5"/>
        <v>0.42</v>
      </c>
      <c r="I7" s="2"/>
      <c r="J7" s="2"/>
      <c r="N7" s="1">
        <v>-0.9</v>
      </c>
      <c r="O7" s="2">
        <f t="shared" si="0"/>
        <v>1.3877089331357724E-10</v>
      </c>
      <c r="P7" s="2">
        <f t="shared" si="1"/>
        <v>3.5802901049656665E-7</v>
      </c>
    </row>
    <row r="8" spans="1:16" x14ac:dyDescent="0.3">
      <c r="G8" s="3" t="s">
        <v>72</v>
      </c>
      <c r="H8" s="5">
        <f t="array" ref="H8">MMULT(TRANSPOSE(B3:B7),H3:H7)</f>
        <v>0.12000000000000001</v>
      </c>
      <c r="J8" s="2"/>
      <c r="N8" s="4">
        <v>-0.88</v>
      </c>
      <c r="O8" s="2">
        <f t="shared" si="0"/>
        <v>3.4816573076523414E-10</v>
      </c>
      <c r="P8" s="2">
        <f t="shared" si="1"/>
        <v>6.5070990402123565E-7</v>
      </c>
    </row>
    <row r="9" spans="1:16" x14ac:dyDescent="0.3">
      <c r="G9" s="3" t="s">
        <v>73</v>
      </c>
      <c r="H9" s="5">
        <f t="array" ref="H9">MMULT(TRANSPOSE(B3:B7),(H3:H7-H8)^2)^0.5</f>
        <v>0.14818906842274163</v>
      </c>
      <c r="J9" s="2"/>
      <c r="N9" s="1">
        <v>-0.86</v>
      </c>
      <c r="O9" s="2">
        <f t="shared" si="0"/>
        <v>8.5775451757880288E-10</v>
      </c>
      <c r="P9" s="2">
        <f t="shared" si="1"/>
        <v>1.1689442578027391E-6</v>
      </c>
    </row>
    <row r="10" spans="1:16" x14ac:dyDescent="0.3">
      <c r="F10" s="5"/>
      <c r="N10" s="4">
        <v>-0.84</v>
      </c>
      <c r="O10" s="2">
        <f t="shared" si="0"/>
        <v>2.0750537926910596E-9</v>
      </c>
      <c r="P10" s="2">
        <f t="shared" si="1"/>
        <v>2.0755699449295618E-6</v>
      </c>
    </row>
    <row r="11" spans="1:16" x14ac:dyDescent="0.3">
      <c r="N11" s="1">
        <v>-0.82</v>
      </c>
      <c r="O11" s="2">
        <f t="shared" si="0"/>
        <v>4.9292978269589085E-9</v>
      </c>
      <c r="P11" s="2">
        <f t="shared" si="1"/>
        <v>3.6426557583232474E-6</v>
      </c>
    </row>
    <row r="12" spans="1:16" x14ac:dyDescent="0.3">
      <c r="A12" s="3" t="s">
        <v>65</v>
      </c>
      <c r="J12">
        <v>20</v>
      </c>
      <c r="N12" s="4">
        <v>-0.8</v>
      </c>
      <c r="O12" s="2">
        <f t="shared" si="0"/>
        <v>1.1498206708532407E-8</v>
      </c>
      <c r="P12" s="2">
        <f t="shared" si="1"/>
        <v>6.3188213257988729E-6</v>
      </c>
    </row>
    <row r="13" spans="1:16" x14ac:dyDescent="0.3">
      <c r="A13" s="3" t="s">
        <v>66</v>
      </c>
      <c r="B13" s="4">
        <f>J12/100</f>
        <v>0.2</v>
      </c>
      <c r="E13" s="11" t="s">
        <v>106</v>
      </c>
      <c r="N13" s="1">
        <v>-0.78</v>
      </c>
      <c r="O13" s="2">
        <f t="shared" si="0"/>
        <v>2.6336891741464863E-8</v>
      </c>
      <c r="P13" s="2">
        <f t="shared" si="1"/>
        <v>1.0834059233757808E-5</v>
      </c>
    </row>
    <row r="14" spans="1:16" x14ac:dyDescent="0.3">
      <c r="A14" s="3" t="s">
        <v>67</v>
      </c>
      <c r="B14">
        <v>200000</v>
      </c>
      <c r="N14" s="4">
        <v>-0.76</v>
      </c>
      <c r="O14" s="2">
        <f t="shared" si="0"/>
        <v>5.9236348423675445E-8</v>
      </c>
      <c r="P14" s="2">
        <f t="shared" si="1"/>
        <v>1.836045851289721E-5</v>
      </c>
    </row>
    <row r="15" spans="1:16" x14ac:dyDescent="0.3">
      <c r="A15" s="3" t="s">
        <v>74</v>
      </c>
      <c r="B15">
        <f>B13*B14</f>
        <v>40000</v>
      </c>
      <c r="N15" s="1">
        <v>-0.74</v>
      </c>
      <c r="O15" s="2">
        <f t="shared" si="0"/>
        <v>1.3082820808207953E-7</v>
      </c>
      <c r="P15" s="2">
        <f t="shared" si="1"/>
        <v>3.0754808403868041E-5</v>
      </c>
    </row>
    <row r="16" spans="1:16" x14ac:dyDescent="0.3">
      <c r="A16" s="3" t="s">
        <v>75</v>
      </c>
      <c r="B16">
        <f>B14-B15</f>
        <v>160000</v>
      </c>
      <c r="N16" s="4">
        <v>-0.72</v>
      </c>
      <c r="O16" s="2">
        <f t="shared" si="0"/>
        <v>2.837290871542099E-7</v>
      </c>
      <c r="P16" s="2">
        <f t="shared" si="1"/>
        <v>5.0918982350197114E-5</v>
      </c>
    </row>
    <row r="17" spans="1:16" x14ac:dyDescent="0.3">
      <c r="A17" s="3" t="s">
        <v>76</v>
      </c>
      <c r="B17" s="1">
        <v>0.1</v>
      </c>
      <c r="N17" s="1">
        <v>-0.7</v>
      </c>
      <c r="O17" s="2">
        <f t="shared" si="0"/>
        <v>6.0422081489644248E-7</v>
      </c>
      <c r="P17" s="2">
        <f t="shared" si="1"/>
        <v>8.3326586537017897E-5</v>
      </c>
    </row>
    <row r="18" spans="1:16" x14ac:dyDescent="0.3">
      <c r="A18" s="3"/>
      <c r="B18" s="1"/>
      <c r="N18" s="4">
        <v>-0.68</v>
      </c>
      <c r="O18" s="2">
        <f t="shared" si="0"/>
        <v>1.2635046874741517E-6</v>
      </c>
      <c r="P18" s="2">
        <f t="shared" si="1"/>
        <v>1.3477975224528716E-4</v>
      </c>
    </row>
    <row r="19" spans="1:16" x14ac:dyDescent="0.3">
      <c r="A19" s="3" t="s">
        <v>77</v>
      </c>
      <c r="B19" s="3" t="s">
        <v>83</v>
      </c>
      <c r="C19" t="s">
        <v>55</v>
      </c>
      <c r="D19" s="3" t="s">
        <v>69</v>
      </c>
      <c r="E19" s="3" t="s">
        <v>70</v>
      </c>
      <c r="F19" s="3" t="s">
        <v>71</v>
      </c>
      <c r="G19" s="3" t="s">
        <v>60</v>
      </c>
      <c r="H19" s="3" t="s">
        <v>61</v>
      </c>
      <c r="N19" s="1">
        <v>-0.66</v>
      </c>
      <c r="O19" s="2">
        <f t="shared" si="0"/>
        <v>2.5944624311619435E-6</v>
      </c>
      <c r="P19" s="2">
        <f t="shared" si="1"/>
        <v>2.154779833816107E-4</v>
      </c>
    </row>
    <row r="20" spans="1:16" x14ac:dyDescent="0.3">
      <c r="A20" s="3" t="s">
        <v>78</v>
      </c>
      <c r="B20">
        <v>0.05</v>
      </c>
      <c r="C20">
        <v>-60000</v>
      </c>
      <c r="D20">
        <f>$B$15*$B$17</f>
        <v>4000</v>
      </c>
      <c r="E20">
        <f>C20-D20</f>
        <v>-64000</v>
      </c>
      <c r="F20">
        <f>E20*$F$1</f>
        <v>-25600</v>
      </c>
      <c r="G20">
        <f>E20-F20</f>
        <v>-38400</v>
      </c>
      <c r="H20" s="5">
        <f>G20/$B$16</f>
        <v>-0.24</v>
      </c>
      <c r="J20" s="2"/>
      <c r="N20" s="4">
        <v>-0.64</v>
      </c>
      <c r="O20" s="2">
        <f t="shared" si="0"/>
        <v>5.2312716041563514E-6</v>
      </c>
      <c r="P20" s="2">
        <f t="shared" si="1"/>
        <v>3.4050095748573288E-4</v>
      </c>
    </row>
    <row r="21" spans="1:16" x14ac:dyDescent="0.3">
      <c r="A21" s="3" t="s">
        <v>79</v>
      </c>
      <c r="B21">
        <v>0.2</v>
      </c>
      <c r="C21">
        <v>-20000</v>
      </c>
      <c r="D21">
        <f t="shared" ref="D21:D24" si="6">$B$15*$B$17</f>
        <v>4000</v>
      </c>
      <c r="E21">
        <f t="shared" ref="E21:E24" si="7">C21-D21</f>
        <v>-24000</v>
      </c>
      <c r="F21">
        <f t="shared" ref="F21:F24" si="8">E21*$F$1</f>
        <v>-9600</v>
      </c>
      <c r="G21">
        <f t="shared" ref="G21:G24" si="9">E21-F21</f>
        <v>-14400</v>
      </c>
      <c r="H21" s="5">
        <f t="shared" ref="H21:H24" si="10">G21/$B$16</f>
        <v>-0.09</v>
      </c>
      <c r="J21" s="2"/>
      <c r="N21" s="1">
        <v>-0.62</v>
      </c>
      <c r="O21" s="2">
        <f t="shared" si="0"/>
        <v>1.0357537280791515E-5</v>
      </c>
      <c r="P21" s="2">
        <f t="shared" si="1"/>
        <v>5.3182770650203029E-4</v>
      </c>
    </row>
    <row r="22" spans="1:16" x14ac:dyDescent="0.3">
      <c r="A22" s="3" t="s">
        <v>80</v>
      </c>
      <c r="B22">
        <v>0.5</v>
      </c>
      <c r="C22">
        <v>40000</v>
      </c>
      <c r="D22">
        <f t="shared" si="6"/>
        <v>4000</v>
      </c>
      <c r="E22">
        <f t="shared" si="7"/>
        <v>36000</v>
      </c>
      <c r="F22">
        <f t="shared" si="8"/>
        <v>14400</v>
      </c>
      <c r="G22">
        <f t="shared" si="9"/>
        <v>21600</v>
      </c>
      <c r="H22" s="5">
        <f t="shared" si="10"/>
        <v>0.13500000000000001</v>
      </c>
      <c r="J22" s="2"/>
      <c r="N22" s="4">
        <v>-0.6</v>
      </c>
      <c r="O22" s="2">
        <f t="shared" si="0"/>
        <v>2.0137015072734311E-5</v>
      </c>
      <c r="P22" s="2">
        <f t="shared" si="1"/>
        <v>8.2103329027289436E-4</v>
      </c>
    </row>
    <row r="23" spans="1:16" x14ac:dyDescent="0.3">
      <c r="A23" s="3" t="s">
        <v>81</v>
      </c>
      <c r="B23">
        <v>0.2</v>
      </c>
      <c r="C23">
        <v>100000</v>
      </c>
      <c r="D23">
        <f t="shared" si="6"/>
        <v>4000</v>
      </c>
      <c r="E23">
        <f t="shared" si="7"/>
        <v>96000</v>
      </c>
      <c r="F23">
        <f t="shared" si="8"/>
        <v>38400</v>
      </c>
      <c r="G23">
        <f t="shared" si="9"/>
        <v>57600</v>
      </c>
      <c r="H23" s="5">
        <f t="shared" si="10"/>
        <v>0.36</v>
      </c>
      <c r="J23" s="2"/>
      <c r="N23" s="1">
        <v>-0.57999999999999996</v>
      </c>
      <c r="O23" s="2">
        <f t="shared" si="0"/>
        <v>3.8443510504835058E-5</v>
      </c>
      <c r="P23" s="2">
        <f t="shared" si="1"/>
        <v>1.2528173548898203E-3</v>
      </c>
    </row>
    <row r="24" spans="1:16" x14ac:dyDescent="0.3">
      <c r="A24" s="3" t="s">
        <v>82</v>
      </c>
      <c r="B24">
        <v>0.05</v>
      </c>
      <c r="C24">
        <v>140000</v>
      </c>
      <c r="D24">
        <f t="shared" si="6"/>
        <v>4000</v>
      </c>
      <c r="E24">
        <f t="shared" si="7"/>
        <v>136000</v>
      </c>
      <c r="F24">
        <f t="shared" si="8"/>
        <v>54400</v>
      </c>
      <c r="G24">
        <f t="shared" si="9"/>
        <v>81600</v>
      </c>
      <c r="H24" s="5">
        <f t="shared" si="10"/>
        <v>0.51</v>
      </c>
      <c r="J24" s="2"/>
      <c r="N24" s="4">
        <v>-0.56000000000000005</v>
      </c>
      <c r="O24" s="2">
        <f t="shared" si="0"/>
        <v>7.2067645930250964E-5</v>
      </c>
      <c r="P24" s="2">
        <f t="shared" si="1"/>
        <v>1.8895219504132469E-3</v>
      </c>
    </row>
    <row r="25" spans="1:16" x14ac:dyDescent="0.3">
      <c r="G25" s="3" t="s">
        <v>72</v>
      </c>
      <c r="H25" s="5">
        <f t="array" ref="H25">MMULT(TRANSPOSE(B20:B24),H20:H24)</f>
        <v>0.13500000000000001</v>
      </c>
      <c r="N25" s="1">
        <v>-0.54</v>
      </c>
      <c r="O25" s="2">
        <f t="shared" si="0"/>
        <v>1.326621364995195E-4</v>
      </c>
      <c r="P25" s="2">
        <f t="shared" si="1"/>
        <v>2.8167824640094844E-3</v>
      </c>
    </row>
    <row r="26" spans="1:16" x14ac:dyDescent="0.3">
      <c r="G26" s="3" t="s">
        <v>73</v>
      </c>
      <c r="H26" s="5">
        <f t="array" ref="H26">MMULT(TRANSPOSE(B20:B24),(H20:H24-H25)^2)^0.5</f>
        <v>0.18523633552842705</v>
      </c>
      <c r="N26" s="4">
        <v>-0.52</v>
      </c>
      <c r="O26" s="2">
        <f t="shared" si="0"/>
        <v>2.397965839539939E-4</v>
      </c>
      <c r="P26" s="2">
        <f t="shared" si="1"/>
        <v>4.15041822672971E-3</v>
      </c>
    </row>
    <row r="27" spans="1:16" x14ac:dyDescent="0.3">
      <c r="N27" s="1">
        <v>-0.5</v>
      </c>
      <c r="O27" s="2">
        <f t="shared" si="0"/>
        <v>4.2562619685716611E-4</v>
      </c>
      <c r="P27" s="2">
        <f t="shared" si="1"/>
        <v>6.0446004796661209E-3</v>
      </c>
    </row>
    <row r="28" spans="1:16" x14ac:dyDescent="0.3">
      <c r="N28" s="4">
        <v>-0.48</v>
      </c>
      <c r="O28" s="2">
        <f t="shared" si="0"/>
        <v>7.4182772855649164E-4</v>
      </c>
      <c r="P28" s="2">
        <f t="shared" si="1"/>
        <v>8.7012275707894042E-3</v>
      </c>
    </row>
    <row r="29" spans="1:16" x14ac:dyDescent="0.3">
      <c r="I29" t="str">
        <f>P1&amp;",mean="&amp;TEXT(H25,".00%")</f>
        <v>debt=0.20,mean=13.50%</v>
      </c>
      <c r="N29" s="1">
        <v>-0.46</v>
      </c>
      <c r="O29" s="2">
        <f t="shared" si="0"/>
        <v>1.2696006278811222E-3</v>
      </c>
      <c r="P29" s="2">
        <f t="shared" si="1"/>
        <v>1.2380284920276268E-2</v>
      </c>
    </row>
    <row r="30" spans="1:16" x14ac:dyDescent="0.3">
      <c r="N30" s="4">
        <v>-0.44</v>
      </c>
      <c r="O30" s="2">
        <f t="shared" si="0"/>
        <v>2.133637069391835E-3</v>
      </c>
      <c r="P30" s="2">
        <f t="shared" si="1"/>
        <v>1.7410768395655304E-2</v>
      </c>
    </row>
    <row r="31" spans="1:16" x14ac:dyDescent="0.3">
      <c r="I31" t="s">
        <v>114</v>
      </c>
      <c r="J31" t="s">
        <v>115</v>
      </c>
      <c r="N31" s="1">
        <v>-0.41999999999999899</v>
      </c>
      <c r="O31" s="2">
        <f t="shared" si="0"/>
        <v>3.5209780800119369E-3</v>
      </c>
      <c r="P31" s="2">
        <f t="shared" si="1"/>
        <v>2.4201507762799876E-2</v>
      </c>
    </row>
    <row r="32" spans="1:16" x14ac:dyDescent="0.3">
      <c r="I32" s="2">
        <f>H25</f>
        <v>0.13500000000000001</v>
      </c>
      <c r="J32">
        <v>0</v>
      </c>
      <c r="N32" s="4">
        <v>-0.39999999999999902</v>
      </c>
      <c r="O32" s="2">
        <f t="shared" si="0"/>
        <v>5.7055228410157937E-3</v>
      </c>
      <c r="P32" s="2">
        <f t="shared" si="1"/>
        <v>3.3250952843214124E-2</v>
      </c>
    </row>
    <row r="33" spans="1:16" x14ac:dyDescent="0.3">
      <c r="I33" s="2">
        <f>H25</f>
        <v>0.13500000000000001</v>
      </c>
      <c r="J33" s="2">
        <f>_xlfn.NORM.DIST(I33,H25,H26,)</f>
        <v>2.1536934385112012</v>
      </c>
      <c r="N33" s="1">
        <v>-0.37999999999999901</v>
      </c>
      <c r="O33" s="2">
        <f t="shared" si="0"/>
        <v>9.0785591811715881E-3</v>
      </c>
      <c r="P33" s="2">
        <f t="shared" si="1"/>
        <v>4.5154699128225957E-2</v>
      </c>
    </row>
    <row r="34" spans="1:16" x14ac:dyDescent="0.3">
      <c r="N34" s="4">
        <v>-0.35999999999999899</v>
      </c>
      <c r="O34" s="2">
        <f t="shared" si="0"/>
        <v>1.4184948499221301E-2</v>
      </c>
      <c r="P34" s="2">
        <f t="shared" si="1"/>
        <v>6.0609262162097541E-2</v>
      </c>
    </row>
    <row r="35" spans="1:16" x14ac:dyDescent="0.3">
      <c r="N35" s="1">
        <v>-0.33999999999999903</v>
      </c>
      <c r="O35" s="2">
        <f t="shared" si="0"/>
        <v>2.176346049456954E-2</v>
      </c>
      <c r="P35" s="2">
        <f t="shared" si="1"/>
        <v>8.0410400954174163E-2</v>
      </c>
    </row>
    <row r="36" spans="1:16" x14ac:dyDescent="0.3">
      <c r="N36" s="4">
        <v>-0.31999999999999901</v>
      </c>
      <c r="O36" s="2">
        <f t="shared" si="0"/>
        <v>3.2788193784476033E-2</v>
      </c>
      <c r="P36" s="2">
        <f t="shared" si="1"/>
        <v>0.10544418747791794</v>
      </c>
    </row>
    <row r="37" spans="1:16" x14ac:dyDescent="0.3">
      <c r="N37" s="1">
        <v>-0.29999999999999899</v>
      </c>
      <c r="O37" s="2">
        <f t="shared" si="0"/>
        <v>4.8506103448512562E-2</v>
      </c>
      <c r="P37" s="2">
        <f t="shared" si="1"/>
        <v>0.13666907276233708</v>
      </c>
    </row>
    <row r="38" spans="1:16" x14ac:dyDescent="0.3">
      <c r="A38" s="13" t="s">
        <v>85</v>
      </c>
      <c r="B38" s="13">
        <v>0</v>
      </c>
      <c r="C38" s="13">
        <v>0.1</v>
      </c>
      <c r="D38" s="13">
        <v>0.2</v>
      </c>
      <c r="E38" s="13">
        <v>0.3</v>
      </c>
      <c r="F38" s="13">
        <v>0.4</v>
      </c>
      <c r="G38" s="13">
        <v>0.5</v>
      </c>
      <c r="H38" s="13"/>
      <c r="N38" s="4">
        <v>-0.27999999999999903</v>
      </c>
      <c r="O38" s="2">
        <f t="shared" si="0"/>
        <v>7.0463569205774595E-2</v>
      </c>
      <c r="P38" s="2">
        <f t="shared" si="1"/>
        <v>0.17508745805905709</v>
      </c>
    </row>
    <row r="39" spans="1:16" x14ac:dyDescent="0.3">
      <c r="A39" s="13"/>
      <c r="B39" s="13"/>
      <c r="C39" s="13"/>
      <c r="D39" s="13"/>
      <c r="E39" s="13"/>
      <c r="F39" s="13"/>
      <c r="G39" s="13"/>
      <c r="H39" s="13"/>
      <c r="N39" s="1">
        <v>-0.25999999999999901</v>
      </c>
      <c r="O39" s="2">
        <f t="shared" si="0"/>
        <v>0.10051300119271808</v>
      </c>
      <c r="P39" s="2">
        <f t="shared" si="1"/>
        <v>0.22170577903402205</v>
      </c>
    </row>
    <row r="40" spans="1:16" x14ac:dyDescent="0.3">
      <c r="A40" s="13" t="s">
        <v>55</v>
      </c>
      <c r="B40" s="13">
        <v>40000</v>
      </c>
      <c r="C40" s="13">
        <v>40000</v>
      </c>
      <c r="D40" s="13">
        <v>40000</v>
      </c>
      <c r="E40" s="13">
        <v>40000</v>
      </c>
      <c r="F40" s="13">
        <v>40000</v>
      </c>
      <c r="G40" s="13">
        <v>40000</v>
      </c>
      <c r="H40" s="13"/>
      <c r="N40" s="4">
        <v>-0.23999999999999899</v>
      </c>
      <c r="O40" s="2">
        <f t="shared" si="0"/>
        <v>0.1407891533396784</v>
      </c>
      <c r="P40" s="2">
        <f t="shared" si="1"/>
        <v>0.2774828689492877</v>
      </c>
    </row>
    <row r="41" spans="1:16" x14ac:dyDescent="0.3">
      <c r="A41" s="13" t="s">
        <v>68</v>
      </c>
      <c r="B41" s="13">
        <f t="shared" ref="B41:G41" si="11">$B$17*B38*$B$14</f>
        <v>0</v>
      </c>
      <c r="C41" s="13">
        <f t="shared" si="11"/>
        <v>2000.0000000000005</v>
      </c>
      <c r="D41" s="13">
        <f t="shared" si="11"/>
        <v>4000.0000000000009</v>
      </c>
      <c r="E41" s="13">
        <f t="shared" si="11"/>
        <v>6000</v>
      </c>
      <c r="F41" s="13">
        <f t="shared" si="11"/>
        <v>8000.0000000000018</v>
      </c>
      <c r="G41" s="13">
        <f t="shared" si="11"/>
        <v>10000</v>
      </c>
      <c r="H41" s="13"/>
      <c r="N41" s="1">
        <v>-0.219999999999999</v>
      </c>
      <c r="O41" s="2">
        <f t="shared" si="0"/>
        <v>0.19364465207880871</v>
      </c>
      <c r="P41" s="2">
        <f t="shared" si="1"/>
        <v>0.34326737180381806</v>
      </c>
    </row>
    <row r="42" spans="1:16" x14ac:dyDescent="0.3">
      <c r="A42" s="13" t="s">
        <v>86</v>
      </c>
      <c r="B42" s="13">
        <f t="shared" ref="B42:G42" si="12">B40-B41</f>
        <v>40000</v>
      </c>
      <c r="C42" s="13">
        <f t="shared" si="12"/>
        <v>38000</v>
      </c>
      <c r="D42" s="13">
        <f t="shared" si="12"/>
        <v>36000</v>
      </c>
      <c r="E42" s="13">
        <f t="shared" si="12"/>
        <v>34000</v>
      </c>
      <c r="F42" s="13">
        <f t="shared" si="12"/>
        <v>32000</v>
      </c>
      <c r="G42" s="13">
        <f t="shared" si="12"/>
        <v>30000</v>
      </c>
      <c r="H42" s="13"/>
      <c r="N42" s="4">
        <v>-0.19999999999999901</v>
      </c>
      <c r="O42" s="2">
        <f t="shared" si="0"/>
        <v>0.26153581585403252</v>
      </c>
      <c r="P42" s="2">
        <f t="shared" si="1"/>
        <v>0.41972618127176664</v>
      </c>
    </row>
    <row r="43" spans="1:16" x14ac:dyDescent="0.3">
      <c r="A43" s="13" t="s">
        <v>87</v>
      </c>
      <c r="B43" s="13">
        <f t="shared" ref="B43:G43" si="13">B42*0.4</f>
        <v>16000</v>
      </c>
      <c r="C43" s="13">
        <f t="shared" si="13"/>
        <v>15200</v>
      </c>
      <c r="D43" s="13">
        <f t="shared" si="13"/>
        <v>14400</v>
      </c>
      <c r="E43" s="13">
        <f t="shared" si="13"/>
        <v>13600</v>
      </c>
      <c r="F43" s="13">
        <f t="shared" si="13"/>
        <v>12800</v>
      </c>
      <c r="G43" s="13">
        <f t="shared" si="13"/>
        <v>12000</v>
      </c>
      <c r="H43" s="13"/>
      <c r="N43" s="1">
        <v>-0.17999999999999899</v>
      </c>
      <c r="O43" s="2">
        <f t="shared" si="0"/>
        <v>0.34685358618661061</v>
      </c>
      <c r="P43" s="2">
        <f t="shared" si="1"/>
        <v>0.50726719991332292</v>
      </c>
    </row>
    <row r="44" spans="1:16" x14ac:dyDescent="0.3">
      <c r="A44" s="13" t="s">
        <v>88</v>
      </c>
      <c r="B44" s="13">
        <f t="shared" ref="B44:G44" si="14">B42-B43</f>
        <v>24000</v>
      </c>
      <c r="C44" s="13">
        <f t="shared" si="14"/>
        <v>22800</v>
      </c>
      <c r="D44" s="13">
        <f t="shared" si="14"/>
        <v>21600</v>
      </c>
      <c r="E44" s="13">
        <f t="shared" si="14"/>
        <v>20400</v>
      </c>
      <c r="F44" s="13">
        <f t="shared" si="14"/>
        <v>19200</v>
      </c>
      <c r="G44" s="13">
        <f t="shared" si="14"/>
        <v>18000</v>
      </c>
      <c r="H44" s="13"/>
      <c r="N44" s="4">
        <v>-0.159999999999999</v>
      </c>
      <c r="O44" s="2">
        <f t="shared" si="0"/>
        <v>0.45170048874438684</v>
      </c>
      <c r="P44" s="2">
        <f t="shared" si="1"/>
        <v>0.60596102212028879</v>
      </c>
    </row>
    <row r="45" spans="1:16" x14ac:dyDescent="0.3">
      <c r="A45" s="13" t="s">
        <v>89</v>
      </c>
      <c r="B45" s="13">
        <f t="shared" ref="B45:G45" si="15">B44</f>
        <v>24000</v>
      </c>
      <c r="C45" s="13">
        <f t="shared" si="15"/>
        <v>22800</v>
      </c>
      <c r="D45" s="13">
        <f t="shared" si="15"/>
        <v>21600</v>
      </c>
      <c r="E45" s="13">
        <f t="shared" si="15"/>
        <v>20400</v>
      </c>
      <c r="F45" s="13">
        <f t="shared" si="15"/>
        <v>19200</v>
      </c>
      <c r="G45" s="13">
        <f t="shared" si="15"/>
        <v>18000</v>
      </c>
      <c r="H45" s="13"/>
      <c r="N45" s="1">
        <v>-0.13999999999999899</v>
      </c>
      <c r="O45" s="2">
        <f t="shared" si="0"/>
        <v>0.5776227442776054</v>
      </c>
      <c r="P45" s="2">
        <f t="shared" si="1"/>
        <v>0.7154672906991919</v>
      </c>
    </row>
    <row r="46" spans="1:16" x14ac:dyDescent="0.3">
      <c r="A46" s="13"/>
      <c r="B46" s="13"/>
      <c r="C46" s="13"/>
      <c r="D46" s="13"/>
      <c r="E46" s="13"/>
      <c r="F46" s="13"/>
      <c r="G46" s="13"/>
      <c r="H46" s="13"/>
      <c r="N46" s="4">
        <v>-0.119999999999999</v>
      </c>
      <c r="O46" s="2">
        <f t="shared" si="0"/>
        <v>0.72531617781011692</v>
      </c>
      <c r="P46" s="2">
        <f t="shared" si="1"/>
        <v>0.83497229280187513</v>
      </c>
    </row>
    <row r="47" spans="1:16" x14ac:dyDescent="0.3">
      <c r="A47" s="13" t="s">
        <v>90</v>
      </c>
      <c r="B47" s="13">
        <f t="shared" ref="B47:G47" si="16">B41+B45</f>
        <v>24000</v>
      </c>
      <c r="C47" s="13">
        <f t="shared" si="16"/>
        <v>24800</v>
      </c>
      <c r="D47" s="13">
        <f t="shared" si="16"/>
        <v>25600</v>
      </c>
      <c r="E47" s="13">
        <f t="shared" si="16"/>
        <v>26400</v>
      </c>
      <c r="F47" s="13">
        <f t="shared" si="16"/>
        <v>27200</v>
      </c>
      <c r="G47" s="13">
        <f t="shared" si="16"/>
        <v>28000</v>
      </c>
      <c r="H47" s="13"/>
      <c r="N47" s="1">
        <v>-9.9999999999999006E-2</v>
      </c>
      <c r="O47" s="2">
        <f t="shared" si="0"/>
        <v>0.89433411337399138</v>
      </c>
      <c r="P47" s="2">
        <f t="shared" si="1"/>
        <v>0.96314468275352239</v>
      </c>
    </row>
    <row r="48" spans="1:16" x14ac:dyDescent="0.3">
      <c r="A48" s="13"/>
      <c r="B48" s="13"/>
      <c r="C48" s="13"/>
      <c r="D48" s="13"/>
      <c r="E48" s="13"/>
      <c r="F48" s="13"/>
      <c r="G48" s="13"/>
      <c r="H48" s="13"/>
      <c r="N48" s="4">
        <v>-7.9999999999999002E-2</v>
      </c>
      <c r="O48" s="2">
        <f t="shared" si="0"/>
        <v>1.0828332498568967</v>
      </c>
      <c r="P48" s="2">
        <f t="shared" si="1"/>
        <v>1.0981159122312838</v>
      </c>
    </row>
    <row r="49" spans="1:16" x14ac:dyDescent="0.3">
      <c r="A49" s="13" t="s">
        <v>91</v>
      </c>
      <c r="B49" s="13">
        <v>0.08</v>
      </c>
      <c r="C49" s="13">
        <v>8.2500000000000004E-2</v>
      </c>
      <c r="D49" s="13">
        <v>8.7499999999999994E-2</v>
      </c>
      <c r="E49" s="13">
        <v>9.7500000000000003E-2</v>
      </c>
      <c r="F49" s="13">
        <v>0.11</v>
      </c>
      <c r="G49" s="13">
        <v>0.125</v>
      </c>
      <c r="H49" s="13"/>
      <c r="N49" s="1">
        <v>-5.9999999999999103E-2</v>
      </c>
      <c r="O49" s="2">
        <f t="shared" si="0"/>
        <v>1.2873976817764949</v>
      </c>
      <c r="P49" s="2">
        <f t="shared" si="1"/>
        <v>1.2374909298204015</v>
      </c>
    </row>
    <row r="50" spans="1:16" x14ac:dyDescent="0.3">
      <c r="A50" s="13" t="s">
        <v>92</v>
      </c>
      <c r="B50" s="13">
        <v>0.12</v>
      </c>
      <c r="C50" s="13">
        <v>0.125</v>
      </c>
      <c r="D50" s="13">
        <v>0.13</v>
      </c>
      <c r="E50" s="13">
        <v>0.13500000000000001</v>
      </c>
      <c r="F50" s="13">
        <v>0.14499999999999999</v>
      </c>
      <c r="G50" s="13">
        <v>0.16</v>
      </c>
      <c r="H50" s="13"/>
      <c r="N50" s="4">
        <v>-3.9999999999999002E-2</v>
      </c>
      <c r="O50" s="2">
        <f t="shared" si="0"/>
        <v>1.502980051215832</v>
      </c>
      <c r="P50" s="2">
        <f t="shared" si="1"/>
        <v>1.378392973418151</v>
      </c>
    </row>
    <row r="51" spans="1:16" x14ac:dyDescent="0.3">
      <c r="A51" s="13" t="s">
        <v>93</v>
      </c>
      <c r="B51" s="13">
        <f t="shared" ref="B51:G51" si="17">B41/B49</f>
        <v>0</v>
      </c>
      <c r="C51" s="13">
        <f t="shared" si="17"/>
        <v>24242.424242424247</v>
      </c>
      <c r="D51" s="13">
        <f t="shared" si="17"/>
        <v>45714.285714285725</v>
      </c>
      <c r="E51" s="13">
        <f t="shared" si="17"/>
        <v>61538.461538461539</v>
      </c>
      <c r="F51" s="13">
        <f t="shared" si="17"/>
        <v>72727.27272727275</v>
      </c>
      <c r="G51" s="13">
        <f t="shared" si="17"/>
        <v>80000</v>
      </c>
      <c r="H51" s="13"/>
      <c r="N51" s="1">
        <v>-1.9999999999999001E-2</v>
      </c>
      <c r="O51" s="2">
        <f t="shared" si="0"/>
        <v>1.7229912167726911</v>
      </c>
      <c r="P51" s="2">
        <f t="shared" si="1"/>
        <v>1.5175438989034358</v>
      </c>
    </row>
    <row r="52" spans="1:16" x14ac:dyDescent="0.3">
      <c r="A52" s="13" t="s">
        <v>4</v>
      </c>
      <c r="B52" s="13">
        <f t="shared" ref="B52:G52" si="18">B45/B50</f>
        <v>200000</v>
      </c>
      <c r="C52" s="13">
        <f t="shared" si="18"/>
        <v>182400</v>
      </c>
      <c r="D52" s="13">
        <f t="shared" si="18"/>
        <v>166153.84615384616</v>
      </c>
      <c r="E52" s="13">
        <f t="shared" si="18"/>
        <v>151111.11111111109</v>
      </c>
      <c r="F52" s="13">
        <f t="shared" si="18"/>
        <v>132413.79310344829</v>
      </c>
      <c r="G52" s="13">
        <f t="shared" si="18"/>
        <v>112500</v>
      </c>
      <c r="H52" s="13"/>
      <c r="N52" s="4">
        <v>0</v>
      </c>
      <c r="O52" s="2">
        <f t="shared" si="0"/>
        <v>1.9395557373932011</v>
      </c>
      <c r="P52" s="2">
        <f t="shared" si="1"/>
        <v>1.6513786362381808</v>
      </c>
    </row>
    <row r="53" spans="1:16" x14ac:dyDescent="0.3">
      <c r="A53" s="13" t="s">
        <v>94</v>
      </c>
      <c r="B53" s="13">
        <f t="shared" ref="B53:G53" si="19">B51+B52</f>
        <v>200000</v>
      </c>
      <c r="C53" s="13">
        <f t="shared" si="19"/>
        <v>206642.42424242425</v>
      </c>
      <c r="D53" s="13">
        <f t="shared" si="19"/>
        <v>211868.13186813187</v>
      </c>
      <c r="E53" s="13">
        <f t="shared" si="19"/>
        <v>212649.57264957263</v>
      </c>
      <c r="F53" s="13">
        <f t="shared" si="19"/>
        <v>205141.06583072105</v>
      </c>
      <c r="G53" s="13">
        <f t="shared" si="19"/>
        <v>192500</v>
      </c>
      <c r="H53" s="13"/>
      <c r="N53" s="1">
        <v>0.02</v>
      </c>
      <c r="O53" s="2">
        <f t="shared" si="0"/>
        <v>2.1439310750683211</v>
      </c>
      <c r="P53" s="2">
        <f t="shared" si="1"/>
        <v>1.7761892900939689</v>
      </c>
    </row>
    <row r="54" spans="1:16" x14ac:dyDescent="0.3">
      <c r="A54" s="13"/>
      <c r="B54" s="13"/>
      <c r="C54" s="13"/>
      <c r="D54" s="13"/>
      <c r="E54" s="13"/>
      <c r="F54" s="13"/>
      <c r="G54" s="13"/>
      <c r="H54" s="13"/>
      <c r="N54" s="4">
        <v>0.04</v>
      </c>
      <c r="O54" s="2">
        <f t="shared" si="0"/>
        <v>2.3270661428056481</v>
      </c>
      <c r="P54" s="2">
        <f t="shared" si="1"/>
        <v>1.8882914149344996</v>
      </c>
    </row>
    <row r="55" spans="1:16" x14ac:dyDescent="0.3">
      <c r="A55" s="13" t="s">
        <v>95</v>
      </c>
      <c r="B55" s="13">
        <f t="shared" ref="B55:G55" si="20">B38*$B$14</f>
        <v>0</v>
      </c>
      <c r="C55" s="13">
        <f t="shared" si="20"/>
        <v>20000</v>
      </c>
      <c r="D55" s="13">
        <f t="shared" si="20"/>
        <v>40000</v>
      </c>
      <c r="E55" s="13">
        <f t="shared" si="20"/>
        <v>60000</v>
      </c>
      <c r="F55" s="13">
        <f t="shared" si="20"/>
        <v>80000</v>
      </c>
      <c r="G55" s="13">
        <f t="shared" si="20"/>
        <v>100000</v>
      </c>
      <c r="H55" s="13"/>
      <c r="N55" s="1">
        <v>6.0000000000000102E-2</v>
      </c>
      <c r="O55" s="2">
        <f t="shared" si="0"/>
        <v>2.4802530340993751</v>
      </c>
      <c r="P55" s="2">
        <f t="shared" si="1"/>
        <v>1.9842024272795002</v>
      </c>
    </row>
    <row r="56" spans="1:16" x14ac:dyDescent="0.3">
      <c r="A56" s="13" t="s">
        <v>96</v>
      </c>
      <c r="B56" s="13">
        <f t="shared" ref="B56:G56" si="21">(1-B38)*$B$14</f>
        <v>200000</v>
      </c>
      <c r="C56" s="13">
        <f t="shared" si="21"/>
        <v>180000</v>
      </c>
      <c r="D56" s="13">
        <f t="shared" si="21"/>
        <v>160000</v>
      </c>
      <c r="E56" s="13">
        <f t="shared" si="21"/>
        <v>140000</v>
      </c>
      <c r="F56" s="13">
        <f t="shared" si="21"/>
        <v>120000</v>
      </c>
      <c r="G56" s="13">
        <f t="shared" si="21"/>
        <v>100000</v>
      </c>
      <c r="H56" s="13"/>
      <c r="N56" s="4">
        <v>8.0000000000000099E-2</v>
      </c>
      <c r="O56" s="2">
        <f t="shared" si="0"/>
        <v>2.595808231810802</v>
      </c>
      <c r="P56" s="2">
        <f t="shared" si="1"/>
        <v>2.0608202866235694</v>
      </c>
    </row>
    <row r="57" spans="1:16" x14ac:dyDescent="0.3">
      <c r="A57" s="13" t="s">
        <v>97</v>
      </c>
      <c r="B57" s="13">
        <f t="shared" ref="B57:G57" si="22">B55+B56</f>
        <v>200000</v>
      </c>
      <c r="C57" s="13">
        <f t="shared" si="22"/>
        <v>200000</v>
      </c>
      <c r="D57" s="13">
        <f t="shared" si="22"/>
        <v>200000</v>
      </c>
      <c r="E57" s="13">
        <f t="shared" si="22"/>
        <v>200000</v>
      </c>
      <c r="F57" s="13">
        <f t="shared" si="22"/>
        <v>200000</v>
      </c>
      <c r="G57" s="13">
        <f t="shared" si="22"/>
        <v>200000</v>
      </c>
      <c r="H57" s="13"/>
      <c r="N57" s="1">
        <v>0.1</v>
      </c>
      <c r="O57" s="2">
        <f t="shared" si="0"/>
        <v>2.6677097421617502</v>
      </c>
      <c r="P57" s="2">
        <f t="shared" si="1"/>
        <v>2.1155897370780661</v>
      </c>
    </row>
    <row r="58" spans="1:16" x14ac:dyDescent="0.3">
      <c r="A58" s="13"/>
      <c r="B58" s="13"/>
      <c r="C58" s="13"/>
      <c r="D58" s="13"/>
      <c r="E58" s="13"/>
      <c r="F58" s="13"/>
      <c r="G58" s="13"/>
      <c r="H58" s="13"/>
      <c r="N58" s="4">
        <v>0.12</v>
      </c>
      <c r="O58" s="2">
        <f t="shared" si="0"/>
        <v>2.6921167981390024</v>
      </c>
      <c r="P58" s="2">
        <f t="shared" si="1"/>
        <v>2.146643711793176</v>
      </c>
    </row>
    <row r="59" spans="1:16" x14ac:dyDescent="0.3">
      <c r="A59" s="13" t="s">
        <v>98</v>
      </c>
      <c r="B59" s="13">
        <f t="shared" ref="B59:G59" si="23">B40*(1-0.4)/B57</f>
        <v>0.12</v>
      </c>
      <c r="C59" s="13">
        <f t="shared" si="23"/>
        <v>0.12</v>
      </c>
      <c r="D59" s="13">
        <f t="shared" si="23"/>
        <v>0.12</v>
      </c>
      <c r="E59" s="13">
        <f t="shared" si="23"/>
        <v>0.12</v>
      </c>
      <c r="F59" s="13">
        <f t="shared" si="23"/>
        <v>0.12</v>
      </c>
      <c r="G59" s="13">
        <f t="shared" si="23"/>
        <v>0.12</v>
      </c>
      <c r="H59" s="13"/>
      <c r="N59" s="1">
        <v>0.14000000000000001</v>
      </c>
      <c r="O59" s="2">
        <f t="shared" si="0"/>
        <v>2.6677097421617502</v>
      </c>
      <c r="P59" s="2">
        <f t="shared" si="1"/>
        <v>2.1529089936324191</v>
      </c>
    </row>
    <row r="60" spans="1:16" x14ac:dyDescent="0.3">
      <c r="A60" s="13" t="s">
        <v>99</v>
      </c>
      <c r="B60" s="13">
        <f t="shared" ref="B60:G60" si="24">B45/B56</f>
        <v>0.12</v>
      </c>
      <c r="C60" s="13">
        <f t="shared" si="24"/>
        <v>0.12666666666666668</v>
      </c>
      <c r="D60" s="13">
        <f t="shared" si="24"/>
        <v>0.13500000000000001</v>
      </c>
      <c r="E60" s="13">
        <f t="shared" si="24"/>
        <v>0.14571428571428571</v>
      </c>
      <c r="F60" s="13">
        <f t="shared" si="24"/>
        <v>0.16</v>
      </c>
      <c r="G60" s="13">
        <f t="shared" si="24"/>
        <v>0.18</v>
      </c>
      <c r="H60" s="13"/>
      <c r="N60" s="4">
        <v>0.16</v>
      </c>
      <c r="O60" s="2">
        <f t="shared" si="0"/>
        <v>2.595808231810802</v>
      </c>
      <c r="P60" s="2">
        <f t="shared" si="1"/>
        <v>2.1341677937294001</v>
      </c>
    </row>
    <row r="61" spans="1:16" x14ac:dyDescent="0.3">
      <c r="A61" s="13"/>
      <c r="B61" s="13"/>
      <c r="C61" s="13"/>
      <c r="D61" s="13"/>
      <c r="E61" s="13"/>
      <c r="F61" s="13"/>
      <c r="G61" s="13"/>
      <c r="H61" s="13"/>
      <c r="N61" s="1">
        <v>0.18</v>
      </c>
      <c r="O61" s="2">
        <f t="shared" si="0"/>
        <v>2.4802530340993747</v>
      </c>
      <c r="P61" s="2">
        <f t="shared" si="1"/>
        <v>2.0910703204328578</v>
      </c>
    </row>
    <row r="62" spans="1:16" x14ac:dyDescent="0.3">
      <c r="A62" s="13" t="s">
        <v>100</v>
      </c>
      <c r="B62" s="13">
        <f t="shared" ref="B62:G62" si="25">B55/B57</f>
        <v>0</v>
      </c>
      <c r="C62" s="13">
        <f t="shared" si="25"/>
        <v>0.1</v>
      </c>
      <c r="D62" s="13">
        <f t="shared" si="25"/>
        <v>0.2</v>
      </c>
      <c r="E62" s="13">
        <f t="shared" si="25"/>
        <v>0.3</v>
      </c>
      <c r="F62" s="13">
        <f t="shared" si="25"/>
        <v>0.4</v>
      </c>
      <c r="G62" s="13">
        <f t="shared" si="25"/>
        <v>0.5</v>
      </c>
      <c r="H62" s="13"/>
      <c r="N62" s="4">
        <v>0.2</v>
      </c>
      <c r="O62" s="2">
        <f t="shared" si="0"/>
        <v>2.3270661428056481</v>
      </c>
      <c r="P62" s="2">
        <f t="shared" si="1"/>
        <v>2.0250973270296484</v>
      </c>
    </row>
    <row r="63" spans="1:16" x14ac:dyDescent="0.3">
      <c r="A63" s="13" t="s">
        <v>101</v>
      </c>
      <c r="B63" s="13">
        <f t="shared" ref="B63:G63" si="26">B51/B53</f>
        <v>0</v>
      </c>
      <c r="C63" s="13">
        <f t="shared" si="26"/>
        <v>0.11731581417175037</v>
      </c>
      <c r="D63" s="13">
        <f t="shared" si="26"/>
        <v>0.21576763485477182</v>
      </c>
      <c r="E63" s="13">
        <f t="shared" si="26"/>
        <v>0.28938906752411581</v>
      </c>
      <c r="F63" s="13">
        <f t="shared" si="26"/>
        <v>0.3545232273838631</v>
      </c>
      <c r="G63" s="13">
        <f t="shared" si="26"/>
        <v>0.41558441558441561</v>
      </c>
      <c r="H63" s="13"/>
      <c r="N63" s="1">
        <v>0.22</v>
      </c>
      <c r="O63" s="2">
        <f t="shared" si="0"/>
        <v>2.1439310750683211</v>
      </c>
      <c r="P63" s="2">
        <f t="shared" si="1"/>
        <v>1.9384756467984776</v>
      </c>
    </row>
    <row r="64" spans="1:16" x14ac:dyDescent="0.3">
      <c r="A64" s="13"/>
      <c r="B64" s="13"/>
      <c r="C64" s="13"/>
      <c r="D64" s="13"/>
      <c r="E64" s="13"/>
      <c r="F64" s="13"/>
      <c r="G64" s="13"/>
      <c r="H64" s="13"/>
      <c r="N64" s="4">
        <v>0.24</v>
      </c>
      <c r="O64" s="2">
        <f t="shared" si="0"/>
        <v>1.9395557373932013</v>
      </c>
      <c r="P64" s="2">
        <f t="shared" si="1"/>
        <v>1.8340534345744206</v>
      </c>
    </row>
    <row r="65" spans="1:16" x14ac:dyDescent="0.3">
      <c r="A65" s="13" t="s">
        <v>30</v>
      </c>
      <c r="B65" s="13">
        <f t="shared" ref="B65:G65" si="27">(1-0.4)*B63*B49+(1-B63)*B50</f>
        <v>0.12</v>
      </c>
      <c r="C65" s="13">
        <f t="shared" si="27"/>
        <v>0.11614265603003285</v>
      </c>
      <c r="D65" s="13">
        <f t="shared" si="27"/>
        <v>0.11327800829875519</v>
      </c>
      <c r="E65" s="13">
        <f t="shared" si="27"/>
        <v>0.11286173633440515</v>
      </c>
      <c r="F65" s="13">
        <f t="shared" si="27"/>
        <v>0.11699266503667481</v>
      </c>
      <c r="G65" s="13">
        <f t="shared" si="27"/>
        <v>0.12467532467532468</v>
      </c>
      <c r="H65" s="13"/>
      <c r="N65" s="1">
        <v>0.26</v>
      </c>
      <c r="O65" s="2">
        <f t="shared" si="0"/>
        <v>1.72299121677268</v>
      </c>
      <c r="P65" s="2">
        <f t="shared" si="1"/>
        <v>1.7151448600546566</v>
      </c>
    </row>
    <row r="66" spans="1:16" x14ac:dyDescent="0.3">
      <c r="A66" s="13" t="s">
        <v>102</v>
      </c>
      <c r="B66" s="13">
        <f t="shared" ref="B66:G66" si="28">B40*(1-0.4)</f>
        <v>24000</v>
      </c>
      <c r="C66" s="13">
        <f t="shared" si="28"/>
        <v>24000</v>
      </c>
      <c r="D66" s="13">
        <f t="shared" si="28"/>
        <v>24000</v>
      </c>
      <c r="E66" s="13">
        <f t="shared" si="28"/>
        <v>24000</v>
      </c>
      <c r="F66" s="13">
        <f t="shared" si="28"/>
        <v>24000</v>
      </c>
      <c r="G66" s="13">
        <f t="shared" si="28"/>
        <v>24000</v>
      </c>
      <c r="H66" s="13"/>
      <c r="N66" s="4">
        <v>0.28000000000000003</v>
      </c>
      <c r="O66" s="2">
        <f t="shared" si="0"/>
        <v>1.5029800512158207</v>
      </c>
      <c r="P66" s="2">
        <f t="shared" si="1"/>
        <v>1.58535604942731</v>
      </c>
    </row>
    <row r="67" spans="1:16" x14ac:dyDescent="0.3">
      <c r="A67" s="13" t="s">
        <v>94</v>
      </c>
      <c r="B67" s="13">
        <f t="shared" ref="B67:G67" si="29">B66/B65</f>
        <v>200000</v>
      </c>
      <c r="C67" s="13">
        <f t="shared" si="29"/>
        <v>206642.42424242425</v>
      </c>
      <c r="D67" s="13">
        <f t="shared" si="29"/>
        <v>211868.13186813187</v>
      </c>
      <c r="E67" s="13">
        <f t="shared" si="29"/>
        <v>212649.57264957266</v>
      </c>
      <c r="F67" s="13">
        <f t="shared" si="29"/>
        <v>205141.06583072103</v>
      </c>
      <c r="G67" s="13">
        <f t="shared" si="29"/>
        <v>192500</v>
      </c>
      <c r="H67" s="13"/>
      <c r="N67" s="1">
        <v>0.3</v>
      </c>
      <c r="O67" s="2">
        <f t="shared" ref="O67:O102" si="30">NORMDIST(N67,$H$8,$H$9,FALSE)</f>
        <v>1.2873976817764858</v>
      </c>
      <c r="P67" s="2">
        <f t="shared" ref="P67:P102" si="31">_xlfn.NORM.DIST(N67,$H$25,$H$26,FALSE)</f>
        <v>1.4484049770973297</v>
      </c>
    </row>
    <row r="68" spans="1:16" x14ac:dyDescent="0.3">
      <c r="A68" s="13"/>
      <c r="B68" s="13"/>
      <c r="C68" s="13"/>
      <c r="D68" s="13"/>
      <c r="E68" s="13"/>
      <c r="F68" s="13"/>
      <c r="G68" s="13"/>
      <c r="H68" s="13"/>
      <c r="N68" s="4">
        <v>0.32</v>
      </c>
      <c r="O68" s="2">
        <f t="shared" si="30"/>
        <v>1.0828332498568869</v>
      </c>
      <c r="P68" s="2">
        <f t="shared" si="31"/>
        <v>1.3079477322575805</v>
      </c>
    </row>
    <row r="69" spans="1:16" x14ac:dyDescent="0.3">
      <c r="A69" s="13"/>
      <c r="B69" s="13"/>
      <c r="C69" s="13"/>
      <c r="D69" s="13"/>
      <c r="E69" s="13"/>
      <c r="F69" s="13"/>
      <c r="G69" s="13"/>
      <c r="H69" s="13"/>
      <c r="N69" s="1">
        <v>0.34</v>
      </c>
      <c r="O69" s="2">
        <f t="shared" si="30"/>
        <v>0.89433411337398272</v>
      </c>
      <c r="P69" s="2">
        <f t="shared" si="31"/>
        <v>1.1674222230895142</v>
      </c>
    </row>
    <row r="70" spans="1:16" x14ac:dyDescent="0.3">
      <c r="N70" s="4">
        <v>0.36</v>
      </c>
      <c r="O70" s="2">
        <f t="shared" si="30"/>
        <v>0.72531617781010915</v>
      </c>
      <c r="P70" s="2">
        <f t="shared" si="31"/>
        <v>1.0299181454211888</v>
      </c>
    </row>
    <row r="71" spans="1:16" x14ac:dyDescent="0.3">
      <c r="N71" s="1">
        <v>0.38</v>
      </c>
      <c r="O71" s="2">
        <f t="shared" si="30"/>
        <v>0.57762274427759852</v>
      </c>
      <c r="P71" s="2">
        <f t="shared" si="31"/>
        <v>0.89807922390124695</v>
      </c>
    </row>
    <row r="72" spans="1:16" x14ac:dyDescent="0.3">
      <c r="N72" s="4">
        <v>0.4</v>
      </c>
      <c r="O72" s="2">
        <f t="shared" si="30"/>
        <v>0.45170048874438118</v>
      </c>
      <c r="P72" s="2">
        <f t="shared" si="31"/>
        <v>0.77404066211071354</v>
      </c>
    </row>
    <row r="73" spans="1:16" x14ac:dyDescent="0.3">
      <c r="N73" s="1">
        <v>0.42</v>
      </c>
      <c r="O73" s="2">
        <f t="shared" si="30"/>
        <v>0.34685358618660583</v>
      </c>
      <c r="P73" s="2">
        <f t="shared" si="31"/>
        <v>0.6594017392482483</v>
      </c>
    </row>
    <row r="74" spans="1:16" x14ac:dyDescent="0.3">
      <c r="N74" s="4">
        <v>0.44</v>
      </c>
      <c r="O74" s="2">
        <f t="shared" si="30"/>
        <v>0.26153581585402846</v>
      </c>
      <c r="P74" s="2">
        <f t="shared" si="31"/>
        <v>0.55523084826060443</v>
      </c>
    </row>
    <row r="75" spans="1:16" x14ac:dyDescent="0.3">
      <c r="N75" s="1">
        <v>0.46</v>
      </c>
      <c r="O75" s="2">
        <f t="shared" si="30"/>
        <v>0.19364465207880574</v>
      </c>
      <c r="P75" s="2">
        <f t="shared" si="31"/>
        <v>0.46209819542207897</v>
      </c>
    </row>
    <row r="76" spans="1:16" x14ac:dyDescent="0.3">
      <c r="N76" s="4">
        <v>0.48</v>
      </c>
      <c r="O76" s="2">
        <f t="shared" si="30"/>
        <v>0.14078915333967598</v>
      </c>
      <c r="P76" s="2">
        <f t="shared" si="31"/>
        <v>0.38012999872524755</v>
      </c>
    </row>
    <row r="77" spans="1:16" x14ac:dyDescent="0.3">
      <c r="N77" s="1">
        <v>0.5</v>
      </c>
      <c r="O77" s="2">
        <f t="shared" si="30"/>
        <v>0.10051300119271632</v>
      </c>
      <c r="P77" s="2">
        <f t="shared" si="31"/>
        <v>0.30907736581076473</v>
      </c>
    </row>
    <row r="78" spans="1:16" x14ac:dyDescent="0.3">
      <c r="N78" s="4">
        <v>0.52</v>
      </c>
      <c r="O78" s="2">
        <f t="shared" si="30"/>
        <v>7.0463569205773346E-2</v>
      </c>
      <c r="P78" s="2">
        <f t="shared" si="31"/>
        <v>0.24839305367044703</v>
      </c>
    </row>
    <row r="79" spans="1:16" x14ac:dyDescent="0.3">
      <c r="N79" s="1">
        <v>0.54</v>
      </c>
      <c r="O79" s="2">
        <f t="shared" si="30"/>
        <v>4.8506103448511612E-2</v>
      </c>
      <c r="P79" s="2">
        <f t="shared" si="31"/>
        <v>0.19730990040307878</v>
      </c>
    </row>
    <row r="80" spans="1:16" x14ac:dyDescent="0.3">
      <c r="N80" s="4">
        <v>0.56000000000000005</v>
      </c>
      <c r="O80" s="2">
        <f t="shared" si="30"/>
        <v>3.2788193784475339E-2</v>
      </c>
      <c r="P80" s="2">
        <f t="shared" si="31"/>
        <v>0.1549157216630446</v>
      </c>
    </row>
    <row r="81" spans="14:16" x14ac:dyDescent="0.3">
      <c r="N81" s="1">
        <v>0.57999999999999996</v>
      </c>
      <c r="O81" s="2">
        <f t="shared" si="30"/>
        <v>2.1763460494569113E-2</v>
      </c>
      <c r="P81" s="2">
        <f t="shared" si="31"/>
        <v>0.12022071262519837</v>
      </c>
    </row>
    <row r="82" spans="14:16" x14ac:dyDescent="0.3">
      <c r="N82" s="4">
        <v>0.6</v>
      </c>
      <c r="O82" s="2">
        <f t="shared" si="30"/>
        <v>1.4184948499221002E-2</v>
      </c>
      <c r="P82" s="2">
        <f t="shared" si="31"/>
        <v>9.2214727631203544E-2</v>
      </c>
    </row>
    <row r="83" spans="14:16" x14ac:dyDescent="0.3">
      <c r="N83" s="1">
        <v>0.62</v>
      </c>
      <c r="O83" s="2">
        <f t="shared" si="30"/>
        <v>9.0785591811713886E-3</v>
      </c>
      <c r="P83" s="2">
        <f t="shared" si="31"/>
        <v>6.9913084637994324E-2</v>
      </c>
    </row>
    <row r="84" spans="14:16" x14ac:dyDescent="0.3">
      <c r="N84" s="4">
        <v>0.64</v>
      </c>
      <c r="O84" s="2">
        <f t="shared" si="30"/>
        <v>5.7055228410156618E-3</v>
      </c>
      <c r="P84" s="2">
        <f t="shared" si="31"/>
        <v>5.239065482424294E-2</v>
      </c>
    </row>
    <row r="85" spans="14:16" x14ac:dyDescent="0.3">
      <c r="N85" s="1">
        <v>0.66</v>
      </c>
      <c r="O85" s="2">
        <f t="shared" si="30"/>
        <v>3.5209780800118497E-3</v>
      </c>
      <c r="P85" s="2">
        <f t="shared" si="31"/>
        <v>3.880488275880932E-2</v>
      </c>
    </row>
    <row r="86" spans="14:16" x14ac:dyDescent="0.3">
      <c r="N86" s="4">
        <v>0.68</v>
      </c>
      <c r="O86" s="2">
        <f t="shared" si="30"/>
        <v>2.133637069391835E-3</v>
      </c>
      <c r="P86" s="2">
        <f t="shared" si="31"/>
        <v>2.8409010740783631E-2</v>
      </c>
    </row>
    <row r="87" spans="14:16" x14ac:dyDescent="0.3">
      <c r="N87" s="1">
        <v>0.7</v>
      </c>
      <c r="O87" s="2">
        <f t="shared" si="30"/>
        <v>1.2696006278811267E-3</v>
      </c>
      <c r="P87" s="2">
        <f t="shared" si="31"/>
        <v>2.0557156051792761E-2</v>
      </c>
    </row>
    <row r="88" spans="14:16" x14ac:dyDescent="0.3">
      <c r="N88" s="4">
        <v>0.72</v>
      </c>
      <c r="O88" s="2">
        <f t="shared" si="30"/>
        <v>7.4182772855649164E-4</v>
      </c>
      <c r="P88" s="2">
        <f t="shared" si="31"/>
        <v>1.4703040067736558E-2</v>
      </c>
    </row>
    <row r="89" spans="14:16" x14ac:dyDescent="0.3">
      <c r="N89" s="1">
        <v>0.74</v>
      </c>
      <c r="O89" s="2">
        <f t="shared" si="30"/>
        <v>4.2562619685716611E-4</v>
      </c>
      <c r="P89" s="2">
        <f t="shared" si="31"/>
        <v>1.0394136962527303E-2</v>
      </c>
    </row>
    <row r="90" spans="14:16" x14ac:dyDescent="0.3">
      <c r="N90" s="4">
        <v>0.76</v>
      </c>
      <c r="O90" s="2">
        <f t="shared" si="30"/>
        <v>2.397965839539939E-4</v>
      </c>
      <c r="P90" s="2">
        <f t="shared" si="31"/>
        <v>7.2628473449371234E-3</v>
      </c>
    </row>
    <row r="91" spans="14:16" x14ac:dyDescent="0.3">
      <c r="N91" s="1">
        <v>0.78</v>
      </c>
      <c r="O91" s="2">
        <f t="shared" si="30"/>
        <v>1.326621364995195E-4</v>
      </c>
      <c r="P91" s="2">
        <f t="shared" si="31"/>
        <v>5.0160583882643325E-3</v>
      </c>
    </row>
    <row r="92" spans="14:16" x14ac:dyDescent="0.3">
      <c r="N92" s="4">
        <v>0.8</v>
      </c>
      <c r="O92" s="2">
        <f t="shared" si="30"/>
        <v>7.2067645930250964E-5</v>
      </c>
      <c r="P92" s="2">
        <f t="shared" si="31"/>
        <v>3.4241709359437889E-3</v>
      </c>
    </row>
    <row r="93" spans="14:16" x14ac:dyDescent="0.3">
      <c r="N93" s="1">
        <v>0.82</v>
      </c>
      <c r="O93" s="2">
        <f t="shared" si="30"/>
        <v>3.8443510504835058E-5</v>
      </c>
      <c r="P93" s="2">
        <f t="shared" si="31"/>
        <v>2.3103909599931109E-3</v>
      </c>
    </row>
    <row r="94" spans="14:16" x14ac:dyDescent="0.3">
      <c r="N94" s="4">
        <v>0.84</v>
      </c>
      <c r="O94" s="2">
        <f t="shared" si="30"/>
        <v>2.0137015072734311E-5</v>
      </c>
      <c r="P94" s="2">
        <f t="shared" si="31"/>
        <v>1.54082282365773E-3</v>
      </c>
    </row>
    <row r="95" spans="14:16" x14ac:dyDescent="0.3">
      <c r="N95" s="1">
        <v>0.86</v>
      </c>
      <c r="O95" s="2">
        <f t="shared" si="30"/>
        <v>1.0357537280791515E-5</v>
      </c>
      <c r="P95" s="2">
        <f t="shared" si="31"/>
        <v>1.015680502304902E-3</v>
      </c>
    </row>
    <row r="96" spans="14:16" x14ac:dyDescent="0.3">
      <c r="N96" s="4">
        <v>0.88</v>
      </c>
      <c r="O96" s="2">
        <f t="shared" si="30"/>
        <v>5.2312716041563514E-6</v>
      </c>
      <c r="P96" s="2">
        <f t="shared" si="31"/>
        <v>6.6175725996312374E-4</v>
      </c>
    </row>
    <row r="97" spans="14:16" x14ac:dyDescent="0.3">
      <c r="N97" s="1">
        <v>0.9</v>
      </c>
      <c r="O97" s="2">
        <f t="shared" si="30"/>
        <v>2.5944624311619435E-6</v>
      </c>
      <c r="P97" s="2">
        <f t="shared" si="31"/>
        <v>4.261647259479962E-4</v>
      </c>
    </row>
    <row r="98" spans="14:16" x14ac:dyDescent="0.3">
      <c r="N98" s="4">
        <v>0.92</v>
      </c>
      <c r="O98" s="2">
        <f t="shared" si="30"/>
        <v>1.2635046874741517E-6</v>
      </c>
      <c r="P98" s="2">
        <f t="shared" si="31"/>
        <v>2.7126481834701088E-4</v>
      </c>
    </row>
    <row r="99" spans="14:16" x14ac:dyDescent="0.3">
      <c r="N99" s="1">
        <v>0.94</v>
      </c>
      <c r="O99" s="2">
        <f t="shared" si="30"/>
        <v>6.0422081489644248E-7</v>
      </c>
      <c r="P99" s="2">
        <f t="shared" si="31"/>
        <v>1.7066585066004544E-4</v>
      </c>
    </row>
    <row r="100" spans="14:16" x14ac:dyDescent="0.3">
      <c r="N100" s="4">
        <v>0.96</v>
      </c>
      <c r="O100" s="2">
        <f t="shared" si="30"/>
        <v>2.837290871542099E-7</v>
      </c>
      <c r="P100" s="2">
        <f t="shared" si="31"/>
        <v>1.0612970919961598E-4</v>
      </c>
    </row>
    <row r="101" spans="14:16" x14ac:dyDescent="0.3">
      <c r="N101" s="1">
        <v>0.98</v>
      </c>
      <c r="O101" s="2">
        <f t="shared" si="30"/>
        <v>1.3082820808207953E-7</v>
      </c>
      <c r="P101" s="2">
        <f t="shared" si="31"/>
        <v>6.5232572420780021E-5</v>
      </c>
    </row>
    <row r="102" spans="14:16" x14ac:dyDescent="0.3">
      <c r="N102" s="4">
        <v>1</v>
      </c>
      <c r="O102" s="2">
        <f t="shared" si="30"/>
        <v>5.9236348423675445E-8</v>
      </c>
      <c r="P102" s="2">
        <f t="shared" si="31"/>
        <v>3.963046994528709E-5</v>
      </c>
    </row>
    <row r="103" spans="14:16" x14ac:dyDescent="0.3">
      <c r="O103" s="2"/>
      <c r="P103" s="2"/>
    </row>
    <row r="104" spans="14:16" x14ac:dyDescent="0.3">
      <c r="O104" s="2"/>
      <c r="P104" s="2"/>
    </row>
    <row r="105" spans="14:16" x14ac:dyDescent="0.3">
      <c r="O105" s="2"/>
      <c r="P105" s="2"/>
    </row>
    <row r="106" spans="14:16" x14ac:dyDescent="0.3">
      <c r="O106" s="2"/>
      <c r="P106" s="2"/>
    </row>
    <row r="107" spans="14:16" x14ac:dyDescent="0.3">
      <c r="O107" s="2"/>
      <c r="P107" s="2"/>
    </row>
    <row r="108" spans="14:16" x14ac:dyDescent="0.3">
      <c r="O108" s="2"/>
      <c r="P108" s="2"/>
    </row>
    <row r="109" spans="14:16" x14ac:dyDescent="0.3">
      <c r="O109" s="2"/>
      <c r="P109" s="2"/>
    </row>
    <row r="110" spans="14:16" x14ac:dyDescent="0.3">
      <c r="O110" s="2"/>
      <c r="P110" s="2"/>
    </row>
    <row r="111" spans="14:16" x14ac:dyDescent="0.3">
      <c r="O111" s="2"/>
      <c r="P111" s="2"/>
    </row>
    <row r="112" spans="14:16" x14ac:dyDescent="0.3">
      <c r="O112" s="2"/>
      <c r="P112" s="2"/>
    </row>
    <row r="113" spans="15:16" x14ac:dyDescent="0.3">
      <c r="O113" s="2"/>
      <c r="P113" s="2"/>
    </row>
    <row r="114" spans="15:16" x14ac:dyDescent="0.3">
      <c r="O114" s="2"/>
      <c r="P114" s="2"/>
    </row>
    <row r="115" spans="15:16" x14ac:dyDescent="0.3">
      <c r="O115" s="2"/>
      <c r="P115" s="2"/>
    </row>
    <row r="116" spans="15:16" x14ac:dyDescent="0.3">
      <c r="O116" s="2"/>
      <c r="P116" s="2"/>
    </row>
    <row r="117" spans="15:16" x14ac:dyDescent="0.3">
      <c r="O117" s="2"/>
      <c r="P117" s="2"/>
    </row>
    <row r="118" spans="15:16" x14ac:dyDescent="0.3">
      <c r="O118" s="2"/>
      <c r="P118" s="2"/>
    </row>
    <row r="119" spans="15:16" x14ac:dyDescent="0.3">
      <c r="O119" s="2"/>
      <c r="P119" s="2"/>
    </row>
    <row r="120" spans="15:16" x14ac:dyDescent="0.3">
      <c r="O120" s="2"/>
      <c r="P120" s="2"/>
    </row>
    <row r="121" spans="15:16" x14ac:dyDescent="0.3">
      <c r="O121" s="2"/>
      <c r="P121" s="2"/>
    </row>
    <row r="122" spans="15:16" x14ac:dyDescent="0.3">
      <c r="O122" s="2"/>
      <c r="P122" s="2"/>
    </row>
    <row r="123" spans="15:16" x14ac:dyDescent="0.3">
      <c r="O123" s="2"/>
      <c r="P123" s="2"/>
    </row>
    <row r="124" spans="15:16" x14ac:dyDescent="0.3">
      <c r="O124" s="2"/>
      <c r="P124" s="2"/>
    </row>
    <row r="125" spans="15:16" x14ac:dyDescent="0.3">
      <c r="O125" s="2"/>
      <c r="P125" s="2"/>
    </row>
    <row r="126" spans="15:16" x14ac:dyDescent="0.3">
      <c r="O126" s="2"/>
      <c r="P126" s="2"/>
    </row>
    <row r="127" spans="15:16" x14ac:dyDescent="0.3">
      <c r="O127" s="2"/>
      <c r="P127" s="2"/>
    </row>
    <row r="128" spans="15:16" x14ac:dyDescent="0.3">
      <c r="O128" s="2"/>
      <c r="P128" s="2"/>
    </row>
    <row r="129" spans="15:16" x14ac:dyDescent="0.3">
      <c r="O129" s="2"/>
      <c r="P129" s="2"/>
    </row>
    <row r="130" spans="15:16" x14ac:dyDescent="0.3">
      <c r="O130" s="2"/>
      <c r="P130" s="2"/>
    </row>
    <row r="131" spans="15:16" x14ac:dyDescent="0.3">
      <c r="O131" s="2"/>
      <c r="P131" s="2"/>
    </row>
    <row r="132" spans="15:16" x14ac:dyDescent="0.3">
      <c r="O132" s="2"/>
      <c r="P132" s="2"/>
    </row>
    <row r="133" spans="15:16" x14ac:dyDescent="0.3">
      <c r="O133" s="2"/>
      <c r="P133" s="2"/>
    </row>
    <row r="134" spans="15:16" x14ac:dyDescent="0.3">
      <c r="O134" s="2"/>
      <c r="P134" s="2"/>
    </row>
    <row r="135" spans="15:16" x14ac:dyDescent="0.3">
      <c r="O135" s="2"/>
      <c r="P135" s="2"/>
    </row>
    <row r="136" spans="15:16" x14ac:dyDescent="0.3">
      <c r="O136" s="2"/>
      <c r="P136" s="2"/>
    </row>
    <row r="137" spans="15:16" x14ac:dyDescent="0.3">
      <c r="O137" s="2"/>
      <c r="P137" s="2"/>
    </row>
    <row r="138" spans="15:16" x14ac:dyDescent="0.3">
      <c r="O138" s="2"/>
      <c r="P138" s="2"/>
    </row>
    <row r="139" spans="15:16" x14ac:dyDescent="0.3">
      <c r="O139" s="2"/>
      <c r="P139" s="2"/>
    </row>
    <row r="140" spans="15:16" x14ac:dyDescent="0.3">
      <c r="O140" s="2"/>
      <c r="P140" s="2"/>
    </row>
    <row r="141" spans="15:16" x14ac:dyDescent="0.3">
      <c r="O141" s="2"/>
      <c r="P141" s="2"/>
    </row>
    <row r="142" spans="15:16" x14ac:dyDescent="0.3">
      <c r="O142" s="2"/>
      <c r="P142" s="2"/>
    </row>
    <row r="143" spans="15:16" x14ac:dyDescent="0.3">
      <c r="O143" s="2"/>
      <c r="P143" s="2"/>
    </row>
    <row r="144" spans="15:16" x14ac:dyDescent="0.3">
      <c r="O144" s="2"/>
      <c r="P144" s="2"/>
    </row>
    <row r="145" spans="15:16" x14ac:dyDescent="0.3">
      <c r="O145" s="2"/>
      <c r="P145" s="2"/>
    </row>
    <row r="146" spans="15:16" x14ac:dyDescent="0.3">
      <c r="O146" s="2"/>
      <c r="P146" s="2"/>
    </row>
    <row r="147" spans="15:16" x14ac:dyDescent="0.3">
      <c r="O147" s="2"/>
      <c r="P147" s="2"/>
    </row>
    <row r="148" spans="15:16" x14ac:dyDescent="0.3">
      <c r="O148" s="2"/>
      <c r="P148" s="2"/>
    </row>
    <row r="149" spans="15:16" x14ac:dyDescent="0.3">
      <c r="O149" s="2"/>
      <c r="P149" s="2"/>
    </row>
    <row r="150" spans="15:16" x14ac:dyDescent="0.3">
      <c r="O150" s="2"/>
      <c r="P150" s="2"/>
    </row>
    <row r="151" spans="15:16" x14ac:dyDescent="0.3">
      <c r="O151" s="2"/>
      <c r="P151" s="2"/>
    </row>
    <row r="152" spans="15:16" x14ac:dyDescent="0.3">
      <c r="O152" s="2"/>
      <c r="P152" s="2"/>
    </row>
    <row r="153" spans="15:16" x14ac:dyDescent="0.3">
      <c r="O153" s="2"/>
      <c r="P153" s="2"/>
    </row>
    <row r="154" spans="15:16" x14ac:dyDescent="0.3">
      <c r="O154" s="2"/>
      <c r="P154" s="2"/>
    </row>
    <row r="155" spans="15:16" x14ac:dyDescent="0.3">
      <c r="O155" s="2"/>
      <c r="P155" s="2"/>
    </row>
    <row r="156" spans="15:16" x14ac:dyDescent="0.3">
      <c r="O156" s="2"/>
      <c r="P156" s="2"/>
    </row>
    <row r="157" spans="15:16" x14ac:dyDescent="0.3">
      <c r="O157" s="2"/>
      <c r="P157" s="2"/>
    </row>
    <row r="158" spans="15:16" x14ac:dyDescent="0.3">
      <c r="O158" s="2"/>
      <c r="P158" s="2"/>
    </row>
    <row r="159" spans="15:16" x14ac:dyDescent="0.3">
      <c r="O159" s="2"/>
      <c r="P159" s="2"/>
    </row>
    <row r="160" spans="15:16" x14ac:dyDescent="0.3">
      <c r="O160" s="2"/>
      <c r="P160" s="2"/>
    </row>
    <row r="161" spans="15:16" x14ac:dyDescent="0.3">
      <c r="O161" s="2"/>
      <c r="P161" s="2"/>
    </row>
    <row r="162" spans="15:16" x14ac:dyDescent="0.3">
      <c r="O162" s="2"/>
      <c r="P162" s="2"/>
    </row>
    <row r="163" spans="15:16" x14ac:dyDescent="0.3">
      <c r="O163" s="2"/>
      <c r="P163" s="2"/>
    </row>
    <row r="164" spans="15:16" x14ac:dyDescent="0.3">
      <c r="O164" s="2"/>
      <c r="P164" s="2"/>
    </row>
    <row r="165" spans="15:16" x14ac:dyDescent="0.3">
      <c r="O165" s="2"/>
      <c r="P165" s="2"/>
    </row>
    <row r="166" spans="15:16" x14ac:dyDescent="0.3">
      <c r="O166" s="2"/>
      <c r="P166" s="2"/>
    </row>
    <row r="167" spans="15:16" x14ac:dyDescent="0.3">
      <c r="O167" s="2"/>
      <c r="P167" s="2"/>
    </row>
    <row r="168" spans="15:16" x14ac:dyDescent="0.3">
      <c r="O168" s="2"/>
      <c r="P168" s="2"/>
    </row>
    <row r="169" spans="15:16" x14ac:dyDescent="0.3">
      <c r="O169" s="2"/>
      <c r="P169" s="2"/>
    </row>
    <row r="170" spans="15:16" x14ac:dyDescent="0.3">
      <c r="O170" s="2"/>
      <c r="P170" s="2"/>
    </row>
    <row r="171" spans="15:16" x14ac:dyDescent="0.3">
      <c r="O171" s="2"/>
      <c r="P171" s="2"/>
    </row>
    <row r="172" spans="15:16" x14ac:dyDescent="0.3">
      <c r="O172" s="2"/>
      <c r="P172" s="2"/>
    </row>
    <row r="173" spans="15:16" x14ac:dyDescent="0.3">
      <c r="O173" s="2"/>
      <c r="P173" s="2"/>
    </row>
    <row r="174" spans="15:16" x14ac:dyDescent="0.3">
      <c r="O174" s="2"/>
      <c r="P174" s="2"/>
    </row>
    <row r="175" spans="15:16" x14ac:dyDescent="0.3">
      <c r="O175" s="2"/>
      <c r="P175" s="2"/>
    </row>
    <row r="176" spans="15:16" x14ac:dyDescent="0.3">
      <c r="O176" s="2"/>
      <c r="P176" s="2"/>
    </row>
    <row r="177" spans="15:16" x14ac:dyDescent="0.3">
      <c r="O177" s="2"/>
      <c r="P177" s="2"/>
    </row>
    <row r="178" spans="15:16" x14ac:dyDescent="0.3">
      <c r="O178" s="2"/>
      <c r="P178" s="2"/>
    </row>
    <row r="179" spans="15:16" x14ac:dyDescent="0.3">
      <c r="O179" s="2"/>
      <c r="P179" s="2"/>
    </row>
    <row r="180" spans="15:16" x14ac:dyDescent="0.3">
      <c r="O180" s="2"/>
      <c r="P180" s="2"/>
    </row>
    <row r="181" spans="15:16" x14ac:dyDescent="0.3">
      <c r="O181" s="2"/>
      <c r="P181" s="2"/>
    </row>
    <row r="182" spans="15:16" x14ac:dyDescent="0.3">
      <c r="O182" s="2"/>
      <c r="P182" s="2"/>
    </row>
    <row r="183" spans="15:16" x14ac:dyDescent="0.3">
      <c r="O183" s="2"/>
      <c r="P183" s="2"/>
    </row>
    <row r="184" spans="15:16" x14ac:dyDescent="0.3">
      <c r="O184" s="2"/>
      <c r="P184" s="2"/>
    </row>
    <row r="185" spans="15:16" x14ac:dyDescent="0.3">
      <c r="O185" s="2"/>
      <c r="P185" s="2"/>
    </row>
    <row r="186" spans="15:16" x14ac:dyDescent="0.3">
      <c r="O186" s="2"/>
      <c r="P186" s="2"/>
    </row>
    <row r="187" spans="15:16" x14ac:dyDescent="0.3">
      <c r="O187" s="2"/>
      <c r="P187" s="2"/>
    </row>
    <row r="188" spans="15:16" x14ac:dyDescent="0.3">
      <c r="O188" s="2"/>
      <c r="P188" s="2"/>
    </row>
    <row r="189" spans="15:16" x14ac:dyDescent="0.3">
      <c r="O189" s="2"/>
      <c r="P189" s="2"/>
    </row>
    <row r="190" spans="15:16" x14ac:dyDescent="0.3">
      <c r="O190" s="2"/>
      <c r="P190" s="2"/>
    </row>
    <row r="191" spans="15:16" x14ac:dyDescent="0.3">
      <c r="O191" s="2"/>
      <c r="P191" s="2"/>
    </row>
    <row r="192" spans="15:16" x14ac:dyDescent="0.3">
      <c r="O192" s="2"/>
      <c r="P192" s="2"/>
    </row>
    <row r="193" spans="15:16" x14ac:dyDescent="0.3">
      <c r="O193" s="2"/>
      <c r="P193" s="2"/>
    </row>
    <row r="194" spans="15:16" x14ac:dyDescent="0.3">
      <c r="O194" s="2"/>
      <c r="P194" s="2"/>
    </row>
    <row r="195" spans="15:16" x14ac:dyDescent="0.3">
      <c r="O195" s="2"/>
      <c r="P195" s="2"/>
    </row>
    <row r="196" spans="15:16" x14ac:dyDescent="0.3">
      <c r="O196" s="2"/>
      <c r="P196" s="2"/>
    </row>
    <row r="197" spans="15:16" x14ac:dyDescent="0.3">
      <c r="O197" s="2"/>
      <c r="P197" s="2"/>
    </row>
    <row r="198" spans="15:16" x14ac:dyDescent="0.3">
      <c r="O198" s="2"/>
      <c r="P198" s="2"/>
    </row>
    <row r="199" spans="15:16" x14ac:dyDescent="0.3">
      <c r="O199" s="2"/>
      <c r="P199" s="2"/>
    </row>
    <row r="200" spans="15:16" x14ac:dyDescent="0.3">
      <c r="O200" s="2"/>
      <c r="P200" s="2"/>
    </row>
    <row r="201" spans="15:16" x14ac:dyDescent="0.3">
      <c r="O201" s="2"/>
      <c r="P201" s="2"/>
    </row>
    <row r="202" spans="15:16" x14ac:dyDescent="0.3">
      <c r="O202" s="2"/>
      <c r="P202" s="2"/>
    </row>
    <row r="203" spans="15:16" x14ac:dyDescent="0.3">
      <c r="O203" s="2"/>
      <c r="P203" s="2"/>
    </row>
    <row r="204" spans="15:16" x14ac:dyDescent="0.3">
      <c r="O204" s="2"/>
      <c r="P204" s="2"/>
    </row>
    <row r="205" spans="15:16" x14ac:dyDescent="0.3">
      <c r="O205" s="2"/>
      <c r="P205" s="2"/>
    </row>
    <row r="206" spans="15:16" x14ac:dyDescent="0.3">
      <c r="O206" s="2"/>
      <c r="P206" s="2"/>
    </row>
    <row r="207" spans="15:16" x14ac:dyDescent="0.3">
      <c r="O207" s="2"/>
      <c r="P207" s="2"/>
    </row>
    <row r="208" spans="15:16" x14ac:dyDescent="0.3">
      <c r="O208" s="2"/>
      <c r="P208" s="2"/>
    </row>
    <row r="209" spans="15:16" x14ac:dyDescent="0.3">
      <c r="O209" s="2"/>
      <c r="P209" s="2"/>
    </row>
    <row r="210" spans="15:16" x14ac:dyDescent="0.3">
      <c r="O210" s="2"/>
      <c r="P210" s="2"/>
    </row>
    <row r="211" spans="15:16" x14ac:dyDescent="0.3">
      <c r="O211" s="2"/>
      <c r="P211" s="2"/>
    </row>
    <row r="212" spans="15:16" x14ac:dyDescent="0.3">
      <c r="O212" s="2"/>
      <c r="P212" s="2"/>
    </row>
    <row r="213" spans="15:16" x14ac:dyDescent="0.3">
      <c r="O213" s="2"/>
      <c r="P213" s="2"/>
    </row>
    <row r="214" spans="15:16" x14ac:dyDescent="0.3">
      <c r="O214" s="2"/>
      <c r="P214" s="2"/>
    </row>
    <row r="215" spans="15:16" x14ac:dyDescent="0.3">
      <c r="O215" s="2"/>
      <c r="P215" s="2"/>
    </row>
    <row r="216" spans="15:16" x14ac:dyDescent="0.3">
      <c r="O216" s="2"/>
      <c r="P216" s="2"/>
    </row>
    <row r="217" spans="15:16" x14ac:dyDescent="0.3">
      <c r="O217" s="2"/>
      <c r="P217" s="2"/>
    </row>
    <row r="218" spans="15:16" x14ac:dyDescent="0.3">
      <c r="O218" s="2"/>
      <c r="P218" s="2"/>
    </row>
    <row r="219" spans="15:16" x14ac:dyDescent="0.3">
      <c r="O219" s="2"/>
      <c r="P219" s="2"/>
    </row>
    <row r="220" spans="15:16" x14ac:dyDescent="0.3">
      <c r="O220" s="2"/>
      <c r="P220" s="2"/>
    </row>
    <row r="221" spans="15:16" x14ac:dyDescent="0.3">
      <c r="O221" s="2"/>
      <c r="P221" s="2"/>
    </row>
    <row r="222" spans="15:16" x14ac:dyDescent="0.3">
      <c r="O222" s="2"/>
      <c r="P222" s="2"/>
    </row>
    <row r="223" spans="15:16" x14ac:dyDescent="0.3">
      <c r="O223" s="2"/>
      <c r="P223" s="2"/>
    </row>
    <row r="224" spans="15:16" x14ac:dyDescent="0.3">
      <c r="O224" s="2"/>
      <c r="P224" s="2"/>
    </row>
    <row r="225" spans="15:16" x14ac:dyDescent="0.3">
      <c r="O225" s="2"/>
      <c r="P225" s="2"/>
    </row>
    <row r="226" spans="15:16" x14ac:dyDescent="0.3">
      <c r="O226" s="2"/>
      <c r="P226" s="2"/>
    </row>
    <row r="227" spans="15:16" x14ac:dyDescent="0.3">
      <c r="O227" s="2"/>
      <c r="P227" s="2"/>
    </row>
    <row r="228" spans="15:16" x14ac:dyDescent="0.3">
      <c r="O228" s="2"/>
      <c r="P228" s="2"/>
    </row>
    <row r="229" spans="15:16" x14ac:dyDescent="0.3">
      <c r="O229" s="2"/>
      <c r="P229" s="2"/>
    </row>
    <row r="230" spans="15:16" x14ac:dyDescent="0.3">
      <c r="O230" s="2"/>
      <c r="P230" s="2"/>
    </row>
    <row r="231" spans="15:16" x14ac:dyDescent="0.3">
      <c r="O231" s="2"/>
      <c r="P231" s="2"/>
    </row>
    <row r="232" spans="15:16" x14ac:dyDescent="0.3">
      <c r="O232" s="2"/>
      <c r="P232" s="2"/>
    </row>
    <row r="233" spans="15:16" x14ac:dyDescent="0.3">
      <c r="O233" s="2"/>
      <c r="P233" s="2"/>
    </row>
    <row r="234" spans="15:16" x14ac:dyDescent="0.3">
      <c r="O234" s="2"/>
      <c r="P234" s="2"/>
    </row>
    <row r="235" spans="15:16" x14ac:dyDescent="0.3">
      <c r="O235" s="2"/>
      <c r="P235" s="2"/>
    </row>
    <row r="236" spans="15:16" x14ac:dyDescent="0.3">
      <c r="O236" s="2"/>
      <c r="P236" s="2"/>
    </row>
    <row r="237" spans="15:16" x14ac:dyDescent="0.3">
      <c r="O237" s="2"/>
      <c r="P237" s="2"/>
    </row>
    <row r="238" spans="15:16" x14ac:dyDescent="0.3">
      <c r="O238" s="2"/>
      <c r="P238" s="2"/>
    </row>
    <row r="239" spans="15:16" x14ac:dyDescent="0.3">
      <c r="O239" s="2"/>
      <c r="P239" s="2"/>
    </row>
    <row r="240" spans="15:16" x14ac:dyDescent="0.3">
      <c r="O240" s="2"/>
      <c r="P240" s="2"/>
    </row>
    <row r="241" spans="15:16" x14ac:dyDescent="0.3">
      <c r="O241" s="2"/>
      <c r="P241" s="2"/>
    </row>
    <row r="242" spans="15:16" x14ac:dyDescent="0.3">
      <c r="O242" s="2"/>
      <c r="P242" s="2"/>
    </row>
    <row r="243" spans="15:16" x14ac:dyDescent="0.3">
      <c r="O243" s="2"/>
      <c r="P243" s="2"/>
    </row>
    <row r="244" spans="15:16" x14ac:dyDescent="0.3">
      <c r="O244" s="2"/>
      <c r="P244" s="2"/>
    </row>
    <row r="245" spans="15:16" x14ac:dyDescent="0.3">
      <c r="O245" s="2"/>
      <c r="P245" s="2"/>
    </row>
    <row r="246" spans="15:16" x14ac:dyDescent="0.3">
      <c r="O246" s="2"/>
      <c r="P246" s="2"/>
    </row>
    <row r="247" spans="15:16" x14ac:dyDescent="0.3">
      <c r="O247" s="2"/>
      <c r="P247" s="2"/>
    </row>
    <row r="248" spans="15:16" x14ac:dyDescent="0.3">
      <c r="O248" s="2"/>
      <c r="P248" s="2"/>
    </row>
    <row r="249" spans="15:16" x14ac:dyDescent="0.3">
      <c r="O249" s="2"/>
      <c r="P249" s="2"/>
    </row>
    <row r="250" spans="15:16" x14ac:dyDescent="0.3">
      <c r="O250" s="2"/>
      <c r="P250" s="2"/>
    </row>
    <row r="251" spans="15:16" x14ac:dyDescent="0.3">
      <c r="O251" s="2"/>
      <c r="P251" s="2"/>
    </row>
    <row r="252" spans="15:16" x14ac:dyDescent="0.3">
      <c r="O252" s="2"/>
      <c r="P252" s="2"/>
    </row>
    <row r="253" spans="15:16" x14ac:dyDescent="0.3">
      <c r="O253" s="2"/>
      <c r="P253" s="2"/>
    </row>
    <row r="254" spans="15:16" x14ac:dyDescent="0.3">
      <c r="O254" s="2"/>
      <c r="P254" s="2"/>
    </row>
    <row r="255" spans="15:16" x14ac:dyDescent="0.3">
      <c r="O255" s="2"/>
      <c r="P255" s="2"/>
    </row>
    <row r="256" spans="15:16" x14ac:dyDescent="0.3">
      <c r="O256" s="2"/>
      <c r="P256" s="2"/>
    </row>
    <row r="257" spans="15:16" x14ac:dyDescent="0.3">
      <c r="O257" s="2"/>
      <c r="P257" s="2"/>
    </row>
    <row r="258" spans="15:16" x14ac:dyDescent="0.3">
      <c r="O258" s="2"/>
      <c r="P258" s="2"/>
    </row>
    <row r="259" spans="15:16" x14ac:dyDescent="0.3">
      <c r="O259" s="2"/>
      <c r="P259" s="2"/>
    </row>
    <row r="260" spans="15:16" x14ac:dyDescent="0.3">
      <c r="O260" s="2"/>
      <c r="P260" s="2"/>
    </row>
    <row r="261" spans="15:16" x14ac:dyDescent="0.3">
      <c r="O261" s="2"/>
      <c r="P261" s="2"/>
    </row>
    <row r="262" spans="15:16" x14ac:dyDescent="0.3">
      <c r="O262" s="2"/>
      <c r="P262" s="2"/>
    </row>
    <row r="263" spans="15:16" x14ac:dyDescent="0.3">
      <c r="O263" s="2"/>
      <c r="P263" s="2"/>
    </row>
    <row r="264" spans="15:16" x14ac:dyDescent="0.3">
      <c r="O264" s="2"/>
      <c r="P264" s="2"/>
    </row>
    <row r="265" spans="15:16" x14ac:dyDescent="0.3">
      <c r="O265" s="2"/>
      <c r="P265" s="2"/>
    </row>
    <row r="266" spans="15:16" x14ac:dyDescent="0.3">
      <c r="O266" s="2"/>
      <c r="P266" s="2"/>
    </row>
    <row r="267" spans="15:16" x14ac:dyDescent="0.3">
      <c r="O267" s="2"/>
      <c r="P267" s="2"/>
    </row>
    <row r="268" spans="15:16" x14ac:dyDescent="0.3">
      <c r="O268" s="2"/>
      <c r="P268" s="2"/>
    </row>
    <row r="269" spans="15:16" x14ac:dyDescent="0.3">
      <c r="O269" s="2"/>
      <c r="P269" s="2"/>
    </row>
    <row r="270" spans="15:16" x14ac:dyDescent="0.3">
      <c r="O270" s="2"/>
      <c r="P270" s="2"/>
    </row>
    <row r="271" spans="15:16" x14ac:dyDescent="0.3">
      <c r="O271" s="2"/>
      <c r="P271" s="2"/>
    </row>
    <row r="272" spans="15:16" x14ac:dyDescent="0.3">
      <c r="O272" s="2"/>
      <c r="P272" s="2"/>
    </row>
    <row r="273" spans="15:16" x14ac:dyDescent="0.3">
      <c r="O273" s="2"/>
      <c r="P273" s="2"/>
    </row>
    <row r="274" spans="15:16" x14ac:dyDescent="0.3">
      <c r="O274" s="2"/>
      <c r="P274" s="2"/>
    </row>
    <row r="275" spans="15:16" x14ac:dyDescent="0.3">
      <c r="O275" s="2"/>
      <c r="P275" s="2"/>
    </row>
    <row r="276" spans="15:16" x14ac:dyDescent="0.3">
      <c r="O276" s="2"/>
      <c r="P276" s="2"/>
    </row>
    <row r="277" spans="15:16" x14ac:dyDescent="0.3">
      <c r="O277" s="2"/>
      <c r="P277" s="2"/>
    </row>
    <row r="278" spans="15:16" x14ac:dyDescent="0.3">
      <c r="O278" s="2"/>
      <c r="P278" s="2"/>
    </row>
    <row r="279" spans="15:16" x14ac:dyDescent="0.3">
      <c r="O279" s="2"/>
      <c r="P279" s="2"/>
    </row>
    <row r="280" spans="15:16" x14ac:dyDescent="0.3">
      <c r="O280" s="2"/>
      <c r="P280" s="2"/>
    </row>
    <row r="281" spans="15:16" x14ac:dyDescent="0.3">
      <c r="O281" s="2"/>
      <c r="P281" s="2"/>
    </row>
    <row r="282" spans="15:16" x14ac:dyDescent="0.3">
      <c r="O282" s="2"/>
      <c r="P282" s="2"/>
    </row>
    <row r="283" spans="15:16" x14ac:dyDescent="0.3">
      <c r="O283" s="2"/>
      <c r="P283" s="2"/>
    </row>
    <row r="284" spans="15:16" x14ac:dyDescent="0.3">
      <c r="O284" s="2"/>
      <c r="P284" s="2"/>
    </row>
    <row r="285" spans="15:16" x14ac:dyDescent="0.3">
      <c r="O285" s="2"/>
      <c r="P285" s="2"/>
    </row>
    <row r="286" spans="15:16" x14ac:dyDescent="0.3">
      <c r="O286" s="2"/>
      <c r="P286" s="2"/>
    </row>
    <row r="287" spans="15:16" x14ac:dyDescent="0.3">
      <c r="O287" s="2"/>
      <c r="P287" s="2"/>
    </row>
    <row r="288" spans="15:16" x14ac:dyDescent="0.3">
      <c r="O288" s="2"/>
      <c r="P288" s="2"/>
    </row>
    <row r="289" spans="15:16" x14ac:dyDescent="0.3">
      <c r="O289" s="2"/>
      <c r="P289" s="2"/>
    </row>
    <row r="290" spans="15:16" x14ac:dyDescent="0.3">
      <c r="O290" s="2"/>
      <c r="P290" s="2"/>
    </row>
    <row r="291" spans="15:16" x14ac:dyDescent="0.3">
      <c r="O291" s="2"/>
      <c r="P291" s="2"/>
    </row>
    <row r="292" spans="15:16" x14ac:dyDescent="0.3">
      <c r="O292" s="2"/>
      <c r="P292" s="2"/>
    </row>
    <row r="293" spans="15:16" x14ac:dyDescent="0.3">
      <c r="O293" s="2"/>
      <c r="P293" s="2"/>
    </row>
    <row r="294" spans="15:16" x14ac:dyDescent="0.3">
      <c r="O294" s="2"/>
      <c r="P294" s="2"/>
    </row>
    <row r="295" spans="15:16" x14ac:dyDescent="0.3">
      <c r="O295" s="2"/>
      <c r="P295" s="2"/>
    </row>
    <row r="296" spans="15:16" x14ac:dyDescent="0.3">
      <c r="O296" s="2"/>
      <c r="P296" s="2"/>
    </row>
    <row r="297" spans="15:16" x14ac:dyDescent="0.3">
      <c r="O297" s="2"/>
      <c r="P297" s="2"/>
    </row>
    <row r="298" spans="15:16" x14ac:dyDescent="0.3">
      <c r="O298" s="2"/>
      <c r="P298" s="2"/>
    </row>
    <row r="299" spans="15:16" x14ac:dyDescent="0.3">
      <c r="O299" s="2"/>
      <c r="P299" s="2"/>
    </row>
    <row r="300" spans="15:16" x14ac:dyDescent="0.3">
      <c r="O300" s="2"/>
      <c r="P300" s="2"/>
    </row>
    <row r="301" spans="15:16" x14ac:dyDescent="0.3">
      <c r="O301" s="2"/>
      <c r="P301" s="2"/>
    </row>
    <row r="302" spans="15:16" x14ac:dyDescent="0.3">
      <c r="O302" s="2"/>
      <c r="P302" s="2"/>
    </row>
    <row r="303" spans="15:16" x14ac:dyDescent="0.3">
      <c r="O303" s="2"/>
      <c r="P303" s="2"/>
    </row>
    <row r="304" spans="15:16" x14ac:dyDescent="0.3">
      <c r="O304" s="2"/>
      <c r="P304" s="2"/>
    </row>
    <row r="305" spans="15:16" x14ac:dyDescent="0.3">
      <c r="O305" s="2"/>
      <c r="P305" s="2"/>
    </row>
    <row r="306" spans="15:16" x14ac:dyDescent="0.3">
      <c r="O306" s="2"/>
      <c r="P306" s="2"/>
    </row>
    <row r="307" spans="15:16" x14ac:dyDescent="0.3">
      <c r="O307" s="2"/>
      <c r="P307" s="2"/>
    </row>
    <row r="308" spans="15:16" x14ac:dyDescent="0.3">
      <c r="O308" s="2"/>
      <c r="P308" s="2"/>
    </row>
    <row r="309" spans="15:16" x14ac:dyDescent="0.3">
      <c r="O309" s="2"/>
      <c r="P309" s="2"/>
    </row>
    <row r="310" spans="15:16" x14ac:dyDescent="0.3">
      <c r="O310" s="2"/>
      <c r="P310" s="2"/>
    </row>
    <row r="311" spans="15:16" x14ac:dyDescent="0.3">
      <c r="O311" s="2"/>
      <c r="P311" s="2"/>
    </row>
    <row r="312" spans="15:16" x14ac:dyDescent="0.3">
      <c r="O312" s="2"/>
      <c r="P312" s="2"/>
    </row>
    <row r="313" spans="15:16" x14ac:dyDescent="0.3">
      <c r="O313" s="2"/>
      <c r="P313" s="2"/>
    </row>
    <row r="314" spans="15:16" x14ac:dyDescent="0.3">
      <c r="O314" s="2"/>
      <c r="P314" s="2"/>
    </row>
    <row r="315" spans="15:16" x14ac:dyDescent="0.3">
      <c r="O315" s="2"/>
      <c r="P315" s="2"/>
    </row>
    <row r="316" spans="15:16" x14ac:dyDescent="0.3">
      <c r="O316" s="2"/>
      <c r="P316" s="2"/>
    </row>
    <row r="317" spans="15:16" x14ac:dyDescent="0.3">
      <c r="O317" s="2"/>
      <c r="P317" s="2"/>
    </row>
    <row r="318" spans="15:16" x14ac:dyDescent="0.3">
      <c r="O318" s="2"/>
      <c r="P318" s="2"/>
    </row>
    <row r="319" spans="15:16" x14ac:dyDescent="0.3">
      <c r="O319" s="2"/>
      <c r="P319" s="2"/>
    </row>
    <row r="320" spans="15:16" x14ac:dyDescent="0.3">
      <c r="O320" s="2"/>
      <c r="P320" s="2"/>
    </row>
  </sheetData>
  <phoneticPr fontId="2" type="noConversion"/>
  <pageMargins left="0.75" right="0.75" top="1" bottom="1" header="0.5" footer="0.5"/>
  <headerFooter alignWithMargins="0"/>
  <ignoredErrors>
    <ignoredError sqref="F20:F24" formula="1"/>
  </ignoredErrors>
  <drawing r:id="rId1"/>
  <legacyDrawing r:id="rId2"/>
  <controls>
    <mc:AlternateContent xmlns:mc="http://schemas.openxmlformats.org/markup-compatibility/2006">
      <mc:Choice Requires="x14">
        <control shapeId="4097" r:id="rId3" name="ScrollBar1">
          <controlPr defaultSize="0" autoLine="0" linkedCell="J12" r:id="rId4">
            <anchor moveWithCells="1">
              <from>
                <xdr:col>2</xdr:col>
                <xdr:colOff>45720</xdr:colOff>
                <xdr:row>12</xdr:row>
                <xdr:rowOff>22860</xdr:rowOff>
              </from>
              <to>
                <xdr:col>4</xdr:col>
                <xdr:colOff>0</xdr:colOff>
                <xdr:row>13</xdr:row>
                <xdr:rowOff>15240</xdr:rowOff>
              </to>
            </anchor>
          </controlPr>
        </control>
      </mc:Choice>
      <mc:Fallback>
        <control shapeId="4097" r:id="rId3" name="ScrollBar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8D7D193C9B2CF4CB13D7332E9170741" ma:contentTypeVersion="11" ma:contentTypeDescription="Create a new document." ma:contentTypeScope="" ma:versionID="d1b230bb32e220c0a223b0a5d0eee6a2">
  <xsd:schema xmlns:xsd="http://www.w3.org/2001/XMLSchema" xmlns:xs="http://www.w3.org/2001/XMLSchema" xmlns:p="http://schemas.microsoft.com/office/2006/metadata/properties" xmlns:ns3="f065381b-d66d-4412-bddd-68009f5f4a61" targetNamespace="http://schemas.microsoft.com/office/2006/metadata/properties" ma:root="true" ma:fieldsID="fac9c7d569480c1eb5bc09b049a80c8b" ns3:_="">
    <xsd:import namespace="f065381b-d66d-4412-bddd-68009f5f4a61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DateTaken" minOccurs="0"/>
                <xsd:element ref="ns3:MediaServiceLocation" minOccurs="0"/>
                <xsd:element ref="ns3:MediaServiceOCR" minOccurs="0"/>
                <xsd:element ref="ns3:MediaServiceAutoKeyPoints" minOccurs="0"/>
                <xsd:element ref="ns3:MediaServiceKeyPoints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065381b-d66d-4412-bddd-68009f5f4a6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DateTaken" ma:index="11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2851E1F-7506-4561-93B4-1BEEC5EC9811}">
  <ds:schemaRefs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dcmitype/"/>
    <ds:schemaRef ds:uri="http://www.w3.org/XML/1998/namespace"/>
    <ds:schemaRef ds:uri="http://purl.org/dc/terms/"/>
    <ds:schemaRef ds:uri="f065381b-d66d-4412-bddd-68009f5f4a61"/>
    <ds:schemaRef ds:uri="http://schemas.openxmlformats.org/package/2006/metadata/core-properties"/>
  </ds:schemaRefs>
</ds:datastoreItem>
</file>

<file path=customXml/itemProps2.xml><?xml version="1.0" encoding="utf-8"?>
<ds:datastoreItem xmlns:ds="http://schemas.openxmlformats.org/officeDocument/2006/customXml" ds:itemID="{D78529F0-A046-44C6-8107-F5E92DDCAA4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6DC556D-83E0-4A8A-A9D6-02AD71B96FE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065381b-d66d-4412-bddd-68009f5f4a6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</vt:vector>
  </HeadingPairs>
  <TitlesOfParts>
    <vt:vector size="4" baseType="lpstr">
      <vt:lpstr>WACC</vt:lpstr>
      <vt:lpstr>Operation leverage</vt:lpstr>
      <vt:lpstr>Capital structure</vt:lpstr>
      <vt:lpstr>Chart1</vt:lpstr>
    </vt:vector>
  </TitlesOfParts>
  <Company>nccu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ymchiang</dc:creator>
  <cp:lastModifiedBy>王博奕</cp:lastModifiedBy>
  <dcterms:created xsi:type="dcterms:W3CDTF">1998-11-25T02:30:40Z</dcterms:created>
  <dcterms:modified xsi:type="dcterms:W3CDTF">2021-11-23T03:14:24Z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0x01010018D7D193C9B2CF4CB13D7332E9170741</vt:lpwstr>
  </property>
</Properties>
</file>