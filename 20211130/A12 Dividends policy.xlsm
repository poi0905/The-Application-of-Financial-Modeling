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dfg\OneDrive - g.ntu.edu.tw\NTU\110-1\110-1財務模型程式應用\20211130\"/>
    </mc:Choice>
  </mc:AlternateContent>
  <xr:revisionPtr revIDLastSave="64" documentId="13_ncr:1_{FE5FC0CD-1D9E-43BC-8685-CE1FD51A7026}" xr6:coauthVersionLast="36" xr6:coauthVersionMax="36" xr10:uidLastSave="{492C215A-8C92-453E-80B9-1E7D1E41D841}"/>
  <bookViews>
    <workbookView xWindow="0" yWindow="1488" windowWidth="15360" windowHeight="9036" activeTab="2" xr2:uid="{00000000-000D-0000-FFFF-FFFF00000000}"/>
  </bookViews>
  <sheets>
    <sheet name="EPS&amp;DPS" sheetId="1" r:id="rId1"/>
    <sheet name="Dividend Policy theory" sheetId="2" r:id="rId2"/>
    <sheet name="Dividend policy practice" sheetId="3" r:id="rId3"/>
  </sheets>
  <definedNames>
    <definedName name="solver_adj" localSheetId="1" hidden="1">'Dividend Policy theory'!$C$44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'Dividend Policy theory'!$C$48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'Dividend Policy theory'!$C$48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hs1" localSheetId="1" hidden="1">'Dividend Policy theory'!$L$53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90000</definedName>
    <definedName name="solver_ver" localSheetId="1" hidden="1">3</definedName>
  </definedNames>
  <calcPr calcId="191029" calcOnSave="0"/>
</workbook>
</file>

<file path=xl/calcChain.xml><?xml version="1.0" encoding="utf-8"?>
<calcChain xmlns="http://schemas.openxmlformats.org/spreadsheetml/2006/main">
  <c r="H68" i="3" l="1"/>
  <c r="H67" i="3"/>
  <c r="H70" i="3" s="1"/>
  <c r="G39" i="3"/>
  <c r="G38" i="3"/>
  <c r="E16" i="3" l="1"/>
  <c r="E17" i="3"/>
  <c r="E18" i="3"/>
  <c r="E19" i="3"/>
  <c r="E20" i="3"/>
  <c r="E21" i="3"/>
  <c r="E22" i="3"/>
  <c r="E23" i="3"/>
  <c r="E24" i="3"/>
  <c r="E25" i="3"/>
  <c r="E15" i="3"/>
  <c r="C98" i="2"/>
  <c r="C99" i="2"/>
  <c r="C100" i="2"/>
  <c r="C101" i="2"/>
  <c r="C102" i="2"/>
  <c r="C103" i="2"/>
  <c r="C104" i="2"/>
  <c r="C105" i="2"/>
  <c r="C106" i="2"/>
  <c r="C97" i="2"/>
  <c r="F8" i="1" l="1"/>
  <c r="F9" i="1"/>
  <c r="F10" i="1"/>
  <c r="G10" i="1" s="1"/>
  <c r="H10" i="1" s="1"/>
  <c r="F11" i="1"/>
  <c r="G11" i="1" s="1"/>
  <c r="H11" i="1" s="1"/>
  <c r="F7" i="1"/>
  <c r="G7" i="1"/>
  <c r="H7" i="1" s="1"/>
  <c r="E11" i="1"/>
  <c r="E8" i="1"/>
  <c r="G8" i="1"/>
  <c r="H8" i="1" s="1"/>
  <c r="E9" i="1"/>
  <c r="E10" i="1"/>
  <c r="E7" i="1"/>
  <c r="G9" i="1" l="1"/>
  <c r="H9" i="1" s="1"/>
  <c r="D67" i="3"/>
  <c r="D69" i="3"/>
  <c r="H120" i="2"/>
  <c r="G120" i="2"/>
  <c r="B77" i="2"/>
  <c r="B80" i="2" s="1"/>
  <c r="I60" i="3"/>
  <c r="I61" i="3" s="1"/>
  <c r="I62" i="3" s="1"/>
  <c r="C42" i="2"/>
  <c r="H119" i="2"/>
  <c r="G119" i="2"/>
  <c r="D119" i="2"/>
  <c r="D120" i="2"/>
  <c r="C119" i="2"/>
  <c r="C120" i="2"/>
  <c r="C45" i="2"/>
  <c r="C46" i="2" s="1"/>
  <c r="C47" i="2"/>
  <c r="D70" i="3" l="1"/>
  <c r="E73" i="3" s="1"/>
  <c r="C73" i="3"/>
  <c r="D73" i="3" s="1"/>
  <c r="D83" i="2"/>
  <c r="C96" i="2"/>
  <c r="B83" i="2"/>
  <c r="C121" i="2"/>
  <c r="D121" i="2"/>
  <c r="H121" i="2"/>
  <c r="E127" i="2" s="1"/>
  <c r="C48" i="2"/>
  <c r="G121" i="2"/>
  <c r="D127" i="2" s="1"/>
</calcChain>
</file>

<file path=xl/sharedStrings.xml><?xml version="1.0" encoding="utf-8"?>
<sst xmlns="http://schemas.openxmlformats.org/spreadsheetml/2006/main" count="223" uniqueCount="196">
  <si>
    <t xml:space="preserve"> Dividend payout ratio</t>
    <phoneticPr fontId="2" type="noConversion"/>
  </si>
  <si>
    <t># of shares</t>
    <phoneticPr fontId="2" type="noConversion"/>
  </si>
  <si>
    <t>EPS</t>
    <phoneticPr fontId="2" type="noConversion"/>
  </si>
  <si>
    <t>DPS</t>
    <phoneticPr fontId="2" type="noConversion"/>
  </si>
  <si>
    <t>Year</t>
    <phoneticPr fontId="2" type="noConversion"/>
  </si>
  <si>
    <t>Net income</t>
    <phoneticPr fontId="2" type="noConversion"/>
  </si>
  <si>
    <t># of shares</t>
    <phoneticPr fontId="2" type="noConversion"/>
  </si>
  <si>
    <t>Dividends paid out to shareholders</t>
    <phoneticPr fontId="2" type="noConversion"/>
  </si>
  <si>
    <t>EPS</t>
    <phoneticPr fontId="2" type="noConversion"/>
  </si>
  <si>
    <t>DPS</t>
    <phoneticPr fontId="2" type="noConversion"/>
  </si>
  <si>
    <t>Dividend payout ratio</t>
    <phoneticPr fontId="2" type="noConversion"/>
  </si>
  <si>
    <t>Ada Corp: The dividend payout ratio 1993-1997</t>
    <phoneticPr fontId="2" type="noConversion"/>
  </si>
  <si>
    <t>Retention ratio</t>
    <phoneticPr fontId="2" type="noConversion"/>
  </si>
  <si>
    <t>Dividend Policy Theories</t>
    <phoneticPr fontId="2" type="noConversion"/>
  </si>
  <si>
    <t>Example</t>
  </si>
  <si>
    <t>the firm value=173.55*100=17,355</t>
  </si>
  <si>
    <t>Want to pay $110 at period 1</t>
  </si>
  <si>
    <t xml:space="preserve">           </t>
  </si>
  <si>
    <t>The value of the stock is not affected by the switch in dividend policy. Dividend policy makes no difference.</t>
  </si>
  <si>
    <t>Assuming the firm choose case 2 dividend policy, but a shareholder prefers 100 for each period.</t>
  </si>
  <si>
    <t>lending</t>
  </si>
  <si>
    <t>Firm chooses case1, the shareholder prefers case 2</t>
  </si>
  <si>
    <t>dividends            100         100</t>
  </si>
  <si>
    <t>borrow</t>
  </si>
  <si>
    <t>net cash flow       110         89</t>
  </si>
  <si>
    <t>An example to illustrate how shareholders can adjust their own level of dividends by selling or buying stocks.</t>
    <phoneticPr fontId="2" type="noConversion"/>
  </si>
  <si>
    <t>Period 1</t>
    <phoneticPr fontId="2" type="noConversion"/>
  </si>
  <si>
    <t>Period 2</t>
    <phoneticPr fontId="2" type="noConversion"/>
  </si>
  <si>
    <t>cash flow</t>
    <phoneticPr fontId="2" type="noConversion"/>
  </si>
  <si>
    <t>dividends</t>
    <phoneticPr fontId="2" type="noConversion"/>
  </si>
  <si>
    <t>borrow</t>
    <phoneticPr fontId="2" type="noConversion"/>
  </si>
  <si>
    <t>/100</t>
    <phoneticPr fontId="2" type="noConversion"/>
  </si>
  <si>
    <t>period 1</t>
    <phoneticPr fontId="2" type="noConversion"/>
  </si>
  <si>
    <t>period 2</t>
  </si>
  <si>
    <t>net cash flow</t>
    <phoneticPr fontId="2" type="noConversion"/>
  </si>
  <si>
    <t>Example 2</t>
    <phoneticPr fontId="2" type="noConversion"/>
  </si>
  <si>
    <t># of shares owned</t>
    <phoneticPr fontId="2" type="noConversion"/>
  </si>
  <si>
    <t>current share price</t>
    <phoneticPr fontId="2" type="noConversion"/>
  </si>
  <si>
    <t>dividend payment</t>
    <phoneticPr fontId="2" type="noConversion"/>
  </si>
  <si>
    <t>sell shares</t>
    <phoneticPr fontId="2" type="noConversion"/>
  </si>
  <si>
    <t>share left</t>
    <phoneticPr fontId="2" type="noConversion"/>
  </si>
  <si>
    <t>dividend income</t>
    <phoneticPr fontId="2" type="noConversion"/>
  </si>
  <si>
    <t>capital gain</t>
    <phoneticPr fontId="2" type="noConversion"/>
  </si>
  <si>
    <t>preferred income</t>
    <phoneticPr fontId="2" type="noConversion"/>
  </si>
  <si>
    <t>shares sold</t>
    <phoneticPr fontId="2" type="noConversion"/>
  </si>
  <si>
    <t>total</t>
    <phoneticPr fontId="2" type="noConversion"/>
  </si>
  <si>
    <t>I. M&amp;M: Dividend irrelevance theory</t>
    <phoneticPr fontId="2" type="noConversion"/>
  </si>
  <si>
    <t>II. The dividend relevant theory</t>
    <phoneticPr fontId="2" type="noConversion"/>
  </si>
  <si>
    <t>(1-b) dividend payout ratio</t>
    <phoneticPr fontId="2" type="noConversion"/>
  </si>
  <si>
    <t>E=EPS</t>
    <phoneticPr fontId="2" type="noConversion"/>
  </si>
  <si>
    <t>r0=the required rate of return on equity capital</t>
    <phoneticPr fontId="2" type="noConversion"/>
  </si>
  <si>
    <t>R=the rate of return on the firm's reinvested earnings</t>
    <phoneticPr fontId="2" type="noConversion"/>
  </si>
  <si>
    <t>r0&gt;R</t>
    <phoneticPr fontId="2" type="noConversion"/>
  </si>
  <si>
    <t>r0&lt;R</t>
    <phoneticPr fontId="2" type="noConversion"/>
  </si>
  <si>
    <t>r0=R</t>
    <phoneticPr fontId="2" type="noConversion"/>
  </si>
  <si>
    <t>An increase in (1-b)amplies an increase in the price of the firm's shares</t>
    <phoneticPr fontId="2" type="noConversion"/>
  </si>
  <si>
    <t>An increase in (1-b)amplies an decrease in the price of the firm's shares</t>
    <phoneticPr fontId="2" type="noConversion"/>
  </si>
  <si>
    <t>The market price of the firm's shares is independent of its dividend policy</t>
    <phoneticPr fontId="2" type="noConversion"/>
  </si>
  <si>
    <t>(1-b)</t>
    <phoneticPr fontId="2" type="noConversion"/>
  </si>
  <si>
    <t>b</t>
    <phoneticPr fontId="2" type="noConversion"/>
  </si>
  <si>
    <t>r0</t>
    <phoneticPr fontId="2" type="noConversion"/>
  </si>
  <si>
    <t>R</t>
    <phoneticPr fontId="2" type="noConversion"/>
  </si>
  <si>
    <t>P0</t>
    <phoneticPr fontId="2" type="noConversion"/>
  </si>
  <si>
    <t>III. Tax differential theory</t>
    <phoneticPr fontId="2" type="noConversion"/>
  </si>
  <si>
    <t>Case 1</t>
    <phoneticPr fontId="2" type="noConversion"/>
  </si>
  <si>
    <t>Dividend income tax rate</t>
    <phoneticPr fontId="2" type="noConversion"/>
  </si>
  <si>
    <t>Capital gain tax rate</t>
    <phoneticPr fontId="2" type="noConversion"/>
  </si>
  <si>
    <t>case 2</t>
    <phoneticPr fontId="2" type="noConversion"/>
  </si>
  <si>
    <t>Share price</t>
    <phoneticPr fontId="2" type="noConversion"/>
  </si>
  <si>
    <t>Dividends</t>
    <phoneticPr fontId="2" type="noConversion"/>
  </si>
  <si>
    <t>Capital gain</t>
    <phoneticPr fontId="2" type="noConversion"/>
  </si>
  <si>
    <t>Total dividends</t>
    <phoneticPr fontId="2" type="noConversion"/>
  </si>
  <si>
    <t>Total capital gain</t>
    <phoneticPr fontId="2" type="noConversion"/>
  </si>
  <si>
    <t>Firm A</t>
    <phoneticPr fontId="2" type="noConversion"/>
  </si>
  <si>
    <t>Firm B</t>
    <phoneticPr fontId="2" type="noConversion"/>
  </si>
  <si>
    <t>After tax return</t>
    <phoneticPr fontId="2" type="noConversion"/>
  </si>
  <si>
    <t>If the tax rate on dividends and capital gains are equal,</t>
    <phoneticPr fontId="2" type="noConversion"/>
  </si>
  <si>
    <t>the investor's after tax return will be 120 for both firm A and firm B.</t>
    <phoneticPr fontId="2" type="noConversion"/>
  </si>
  <si>
    <t xml:space="preserve">In contrast, I fthe dividends are taxed at a higher rate than the capital gains, </t>
    <phoneticPr fontId="2" type="noConversion"/>
  </si>
  <si>
    <t>firm B'a shares have a higher after-tax return than firm A's shares.</t>
    <phoneticPr fontId="2" type="noConversion"/>
  </si>
  <si>
    <t>dividend incoome tax rate</t>
    <phoneticPr fontId="2" type="noConversion"/>
  </si>
  <si>
    <t>capital gain tax rate</t>
    <phoneticPr fontId="2" type="noConversion"/>
  </si>
  <si>
    <t>Dividend Policies</t>
    <phoneticPr fontId="2" type="noConversion"/>
  </si>
  <si>
    <t>Constant dividend payout ratio</t>
    <phoneticPr fontId="2" type="noConversion"/>
  </si>
  <si>
    <t>Lintner's model</t>
    <phoneticPr fontId="2" type="noConversion"/>
  </si>
  <si>
    <t>AC=1-c</t>
    <phoneticPr fontId="2" type="noConversion"/>
  </si>
  <si>
    <t>Target DPR=b/AC</t>
    <phoneticPr fontId="2" type="noConversion"/>
  </si>
  <si>
    <t>Adjustment coefficient</t>
    <phoneticPr fontId="2" type="noConversion"/>
  </si>
  <si>
    <t>III. Residual dividend policy</t>
    <phoneticPr fontId="2" type="noConversion"/>
  </si>
  <si>
    <t>A firm will pay dividends after all its investment projects have been financed.</t>
    <phoneticPr fontId="2" type="noConversion"/>
  </si>
  <si>
    <t>Example</t>
    <phoneticPr fontId="2" type="noConversion"/>
  </si>
  <si>
    <t>Stable per-share dividends</t>
    <phoneticPr fontId="2" type="noConversion"/>
  </si>
  <si>
    <t>Residual dividends</t>
    <phoneticPr fontId="2" type="noConversion"/>
  </si>
  <si>
    <t>I. Constant dividned payout ratio</t>
    <phoneticPr fontId="2" type="noConversion"/>
  </si>
  <si>
    <t>Establish a dividend policy that pays a constant percentagee of earnings per share as dividends to the shareholders.</t>
    <phoneticPr fontId="2" type="noConversion"/>
  </si>
  <si>
    <t>II. Stable per-share dividends policy</t>
    <phoneticPr fontId="2" type="noConversion"/>
  </si>
  <si>
    <t>Establish a dividend policy that maintains a modestly growing pattern of dividend payments over time.</t>
    <phoneticPr fontId="2" type="noConversion"/>
  </si>
  <si>
    <t>Ada Corp.'s DPS &amp; EPS</t>
    <phoneticPr fontId="2" type="noConversion"/>
  </si>
  <si>
    <t>year</t>
    <phoneticPr fontId="2" type="noConversion"/>
  </si>
  <si>
    <t>DPS(t)=a+bEPS(t)+cDPS(t-1)+e(t)</t>
    <phoneticPr fontId="2" type="noConversion"/>
  </si>
  <si>
    <t>The residual dividend policy leads to the maximization of the firm's share price.</t>
    <phoneticPr fontId="2" type="noConversion"/>
  </si>
  <si>
    <t>Step 1. Determine the firm's optimal amount for investment.</t>
    <phoneticPr fontId="2" type="noConversion"/>
  </si>
  <si>
    <t>Step 3. Determine the amount of equity required to finance the investment projects</t>
    <phoneticPr fontId="2" type="noConversion"/>
  </si>
  <si>
    <t>Step 4. Use the reserves to supply part or all the equity required.  Pay dividends</t>
    <phoneticPr fontId="2" type="noConversion"/>
  </si>
  <si>
    <t xml:space="preserve">            only if there exists more earnings than those required for financing the investment.</t>
    <phoneticPr fontId="2" type="noConversion"/>
  </si>
  <si>
    <t>shares</t>
    <phoneticPr fontId="2" type="noConversion"/>
  </si>
  <si>
    <t>Investment</t>
    <phoneticPr fontId="2" type="noConversion"/>
  </si>
  <si>
    <t>shares</t>
    <phoneticPr fontId="2" type="noConversion"/>
  </si>
  <si>
    <t>Equity financing</t>
    <phoneticPr fontId="2" type="noConversion"/>
  </si>
  <si>
    <t>Net income</t>
    <phoneticPr fontId="2" type="noConversion"/>
  </si>
  <si>
    <t>Available dividends</t>
    <phoneticPr fontId="2" type="noConversion"/>
  </si>
  <si>
    <t>DPS</t>
    <phoneticPr fontId="2" type="noConversion"/>
  </si>
  <si>
    <t>Dividend available</t>
    <phoneticPr fontId="2" type="noConversion"/>
  </si>
  <si>
    <t>Dividends</t>
    <phoneticPr fontId="2" type="noConversion"/>
  </si>
  <si>
    <t>1. Calculate DPS and EPS</t>
    <phoneticPr fontId="2" type="noConversion"/>
  </si>
  <si>
    <t>2.draw figure of EPS and DPS vs. year</t>
    <phoneticPr fontId="2" type="noConversion"/>
  </si>
  <si>
    <t>3.Sensitivity analysis:Dividend payout ratio to EPS &amp; DPS</t>
    <phoneticPr fontId="2" type="noConversion"/>
  </si>
  <si>
    <t>total income</t>
    <phoneticPr fontId="2" type="noConversion"/>
  </si>
  <si>
    <t>complete the following table</t>
    <phoneticPr fontId="2" type="noConversion"/>
  </si>
  <si>
    <t>sensitivity analysis of p0 on r0 and R</t>
    <phoneticPr fontId="2" type="noConversion"/>
  </si>
  <si>
    <t>complete the following table</t>
    <phoneticPr fontId="2" type="noConversion"/>
  </si>
  <si>
    <t>complete the following table</t>
    <phoneticPr fontId="2" type="noConversion"/>
  </si>
  <si>
    <t>complete the following table and draw figure of firm a's return and firm b's return vs tax rate</t>
    <phoneticPr fontId="2" type="noConversion"/>
  </si>
  <si>
    <t>complete the table and draw figure of dps and eps vs year</t>
    <phoneticPr fontId="2" type="noConversion"/>
  </si>
  <si>
    <t>run the above regression</t>
    <phoneticPr fontId="2" type="noConversion"/>
  </si>
  <si>
    <t>Two-period, 100 shares, r=10%, cash flows for each period is $10,000.</t>
    <phoneticPr fontId="2" type="noConversion"/>
  </si>
  <si>
    <t>Step 2. Determine the target equity/(debt+equity) ratio.</t>
    <phoneticPr fontId="2" type="noConversion"/>
  </si>
  <si>
    <t>Equity/TA ratio</t>
    <phoneticPr fontId="2" type="noConversion"/>
  </si>
  <si>
    <t xml:space="preserve">            of the firm so as to maintain the target debt ratio.</t>
    <phoneticPr fontId="2" type="noConversion"/>
  </si>
  <si>
    <t>&lt;=the amount of money you want (goal seeker)!!</t>
    <phoneticPr fontId="2" type="noConversion"/>
  </si>
  <si>
    <t xml:space="preserve">    </t>
    <phoneticPr fontId="2" type="noConversion"/>
  </si>
  <si>
    <t>Practice</t>
    <phoneticPr fontId="2" type="noConversion"/>
  </si>
  <si>
    <t>r0</t>
    <phoneticPr fontId="2" type="noConversion"/>
  </si>
  <si>
    <t>P</t>
    <phoneticPr fontId="2" type="noConversion"/>
  </si>
  <si>
    <t>R</t>
    <phoneticPr fontId="2" type="noConversion"/>
  </si>
  <si>
    <t>Case 2</t>
    <phoneticPr fontId="2" type="noConversion"/>
  </si>
  <si>
    <t>The same</t>
    <phoneticPr fontId="2" type="noConversion"/>
  </si>
  <si>
    <t>if R&lt;r:</t>
    <phoneticPr fontId="2" type="noConversion"/>
  </si>
  <si>
    <t>if R=r:</t>
    <phoneticPr fontId="2" type="noConversion"/>
  </si>
  <si>
    <t>if R&gt;r:</t>
    <phoneticPr fontId="2" type="noConversion"/>
  </si>
  <si>
    <t>無關</t>
    <phoneticPr fontId="2" type="noConversion"/>
  </si>
  <si>
    <t>發越多評價越多(因為個人比較會賺錢)</t>
    <phoneticPr fontId="2" type="noConversion"/>
  </si>
  <si>
    <t>發越少評價越低(因為公司比較會賺錢)</t>
    <phoneticPr fontId="2" type="noConversion"/>
  </si>
  <si>
    <r>
      <t>Case 1</t>
    </r>
    <r>
      <rPr>
        <sz val="10"/>
        <rFont val="新細明體"/>
        <family val="1"/>
        <charset val="136"/>
        <scheme val="minor"/>
      </rPr>
      <t>: dividends pay out per period are set equal to the cash flow of $10,000</t>
    </r>
    <phoneticPr fontId="2" type="noConversion"/>
  </si>
  <si>
    <t>分子=股利</t>
    <phoneticPr fontId="2" type="noConversion"/>
  </si>
  <si>
    <t>個人借貸跟公司借貸%數一樣-&gt;值一樣(股利無關論)</t>
    <phoneticPr fontId="2" type="noConversion"/>
  </si>
  <si>
    <t>不能直接選1-b</t>
    <phoneticPr fontId="2" type="noConversion"/>
  </si>
  <si>
    <t>因為1-b是公式</t>
    <phoneticPr fontId="2" type="noConversion"/>
  </si>
  <si>
    <t>台灣=0%</t>
    <phoneticPr fontId="2" type="noConversion"/>
  </si>
  <si>
    <t>r=the required rate of return on equity capital</t>
    <phoneticPr fontId="2" type="noConversion"/>
  </si>
  <si>
    <t xml:space="preserve"> </t>
    <phoneticPr fontId="2" type="noConversion"/>
  </si>
  <si>
    <t>Firm A</t>
    <phoneticPr fontId="2" type="noConversion"/>
  </si>
  <si>
    <t>Firm B</t>
    <phoneticPr fontId="2" type="noConversion"/>
  </si>
  <si>
    <t>稅越高-&gt;少發一點</t>
    <phoneticPr fontId="2" type="noConversion"/>
  </si>
  <si>
    <t>DPS(t-1)</t>
    <phoneticPr fontId="2" type="noConversion"/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</si>
  <si>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</si>
  <si>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</si>
  <si>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</si>
  <si>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</si>
  <si>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</si>
  <si>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</si>
  <si>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</si>
  <si>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</si>
  <si>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</si>
  <si>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</si>
  <si>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</si>
  <si>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</si>
  <si>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</si>
  <si>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</si>
  <si>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</si>
  <si>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</si>
  <si>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</si>
  <si>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</si>
  <si>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</si>
  <si>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</si>
  <si>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</si>
  <si>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</si>
  <si>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</si>
  <si>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</si>
  <si>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</si>
  <si>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</si>
  <si>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a</t>
    <phoneticPr fontId="2" type="noConversion"/>
  </si>
  <si>
    <t>b</t>
    <phoneticPr fontId="2" type="noConversion"/>
  </si>
  <si>
    <t>c</t>
    <phoneticPr fontId="2" type="noConversion"/>
  </si>
  <si>
    <t>AC</t>
    <phoneticPr fontId="2" type="noConversion"/>
  </si>
  <si>
    <t>Targer DPR</t>
    <phoneticPr fontId="2" type="noConversion"/>
  </si>
  <si>
    <t>NI</t>
    <phoneticPr fontId="2" type="noConversion"/>
  </si>
  <si>
    <t>Investment</t>
    <phoneticPr fontId="2" type="noConversion"/>
  </si>
  <si>
    <t>E/TA</t>
    <phoneticPr fontId="2" type="noConversion"/>
  </si>
  <si>
    <t>不希望改變資本結構</t>
    <phoneticPr fontId="2" type="noConversion"/>
  </si>
  <si>
    <t>Equity financing</t>
    <phoneticPr fontId="2" type="noConversion"/>
  </si>
  <si>
    <t>Available for dividends</t>
    <phoneticPr fontId="2" type="noConversion"/>
  </si>
  <si>
    <t>DPS</t>
    <phoneticPr fontId="2" type="noConversion"/>
  </si>
  <si>
    <t># of shares</t>
    <phoneticPr fontId="2" type="noConversion"/>
  </si>
  <si>
    <t>只有投資計畫金額會改變</t>
    <phoneticPr fontId="2" type="noConversion"/>
  </si>
  <si>
    <r>
      <t>Dividends</t>
    </r>
    <r>
      <rPr>
        <sz val="10"/>
        <color rgb="FFFF0000"/>
        <rFont val="新細明體"/>
        <family val="1"/>
        <charset val="136"/>
      </rPr>
      <t>不能是負的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</si>
</sst>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8" formatCode="&quot;$&quot;#,##0.00;[Red]\-&quot;$&quot;#,##0.00"/>
  </numFmts>
  <fonts count="15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0"/>
      <name val="新細明體"/>
      <family val="1"/>
      <charset val="136"/>
    </font>
    <font>
      <sz val="10"/>
      <color indexed="10"/>
      <name val="Times New Roman"/>
      <family val="1"/>
    </font>
    <font>
      <sz val="12"/>
      <name val="Times New Roman"/>
      <family val="1"/>
    </font>
    <font>
      <sz val="10"/>
      <name val="新細明體"/>
      <family val="1"/>
      <charset val="136"/>
      <scheme val="minor"/>
    </font>
    <font>
      <sz val="10"/>
      <color indexed="50"/>
      <name val="新細明體"/>
      <family val="1"/>
      <charset val="136"/>
      <scheme val="minor"/>
    </font>
    <font>
      <sz val="10"/>
      <color indexed="10"/>
      <name val="新細明體"/>
      <family val="1"/>
      <charset val="136"/>
      <scheme val="minor"/>
    </font>
    <font>
      <sz val="10"/>
      <color indexed="13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新細明體"/>
      <family val="1"/>
      <charset val="136"/>
    </font>
    <font>
      <sz val="10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4" fillId="0" borderId="0" xfId="0" applyFont="1"/>
    <xf numFmtId="2" fontId="4" fillId="0" borderId="0" xfId="0" applyNumberFormat="1" applyFont="1"/>
    <xf numFmtId="10" fontId="4" fillId="0" borderId="0" xfId="1" applyNumberFormat="1" applyFont="1"/>
    <xf numFmtId="10" fontId="4" fillId="0" borderId="0" xfId="0" applyNumberFormat="1" applyFont="1"/>
    <xf numFmtId="0" fontId="5" fillId="3" borderId="0" xfId="0" applyFont="1" applyFill="1"/>
    <xf numFmtId="0" fontId="4" fillId="3" borderId="0" xfId="0" applyFont="1" applyFill="1"/>
    <xf numFmtId="0" fontId="5" fillId="3" borderId="0" xfId="0" applyFont="1" applyFill="1" applyBorder="1"/>
    <xf numFmtId="0" fontId="3" fillId="3" borderId="0" xfId="0" applyFont="1" applyFill="1"/>
    <xf numFmtId="0" fontId="6" fillId="0" borderId="0" xfId="0" applyFont="1"/>
    <xf numFmtId="9" fontId="3" fillId="0" borderId="0" xfId="0" applyNumberFormat="1" applyFont="1"/>
    <xf numFmtId="0" fontId="7" fillId="0" borderId="0" xfId="0" applyFont="1"/>
    <xf numFmtId="0" fontId="8" fillId="2" borderId="0" xfId="0" applyFont="1" applyFill="1"/>
    <xf numFmtId="0" fontId="7" fillId="2" borderId="0" xfId="0" applyFont="1" applyFill="1"/>
    <xf numFmtId="0" fontId="9" fillId="0" borderId="0" xfId="0" applyFont="1"/>
    <xf numFmtId="0" fontId="7" fillId="0" borderId="0" xfId="0" quotePrefix="1" applyFont="1"/>
    <xf numFmtId="0" fontId="10" fillId="2" borderId="0" xfId="0" applyFont="1" applyFill="1"/>
    <xf numFmtId="2" fontId="7" fillId="0" borderId="0" xfId="0" applyNumberFormat="1" applyFont="1"/>
    <xf numFmtId="0" fontId="9" fillId="3" borderId="0" xfId="0" applyFont="1" applyFill="1"/>
    <xf numFmtId="0" fontId="7" fillId="3" borderId="0" xfId="0" applyFont="1" applyFill="1"/>
    <xf numFmtId="0" fontId="11" fillId="0" borderId="0" xfId="0" applyFont="1"/>
    <xf numFmtId="0" fontId="7" fillId="4" borderId="0" xfId="0" applyFont="1" applyFill="1" applyAlignment="1">
      <alignment horizontal="center"/>
    </xf>
    <xf numFmtId="9" fontId="7" fillId="0" borderId="0" xfId="0" applyNumberFormat="1" applyFont="1"/>
    <xf numFmtId="2" fontId="9" fillId="3" borderId="0" xfId="0" applyNumberFormat="1" applyFont="1" applyFill="1"/>
    <xf numFmtId="0" fontId="7" fillId="0" borderId="0" xfId="0" applyFont="1" applyFill="1"/>
    <xf numFmtId="2" fontId="7" fillId="0" borderId="0" xfId="0" applyNumberFormat="1" applyFont="1" applyFill="1"/>
    <xf numFmtId="9" fontId="7" fillId="0" borderId="0" xfId="1" applyFont="1"/>
    <xf numFmtId="9" fontId="7" fillId="0" borderId="0" xfId="0" applyNumberFormat="1" applyFont="1" applyFill="1"/>
    <xf numFmtId="0" fontId="7" fillId="5" borderId="0" xfId="0" applyFont="1" applyFill="1"/>
    <xf numFmtId="2" fontId="7" fillId="4" borderId="0" xfId="0" applyNumberFormat="1" applyFont="1" applyFill="1"/>
    <xf numFmtId="9" fontId="7" fillId="5" borderId="0" xfId="1" applyFont="1" applyFill="1"/>
    <xf numFmtId="9" fontId="7" fillId="5" borderId="0" xfId="0" applyNumberFormat="1" applyFont="1" applyFill="1"/>
    <xf numFmtId="0" fontId="12" fillId="0" borderId="0" xfId="0" applyFont="1"/>
    <xf numFmtId="0" fontId="7" fillId="6" borderId="0" xfId="0" applyFont="1" applyFill="1"/>
    <xf numFmtId="0" fontId="3" fillId="0" borderId="0" xfId="0" applyFont="1" applyBorder="1"/>
    <xf numFmtId="0" fontId="6" fillId="0" borderId="0" xfId="0" applyFont="1" applyFill="1" applyBorder="1" applyAlignment="1"/>
    <xf numFmtId="0" fontId="6" fillId="0" borderId="2" xfId="0" applyFont="1" applyFill="1" applyBorder="1" applyAlignment="1">
      <alignment horizontal="centerContinuous"/>
    </xf>
    <xf numFmtId="0" fontId="6" fillId="0" borderId="1" xfId="0" applyFont="1" applyFill="1" applyBorder="1" applyAlignment="1"/>
    <xf numFmtId="0" fontId="6" fillId="0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3" fontId="3" fillId="0" borderId="0" xfId="0" applyNumberFormat="1" applyFont="1"/>
    <xf numFmtId="6" fontId="3" fillId="0" borderId="0" xfId="0" applyNumberFormat="1" applyFont="1"/>
    <xf numFmtId="8" fontId="3" fillId="0" borderId="0" xfId="0" applyNumberFormat="1" applyFont="1"/>
    <xf numFmtId="0" fontId="13" fillId="0" borderId="0" xfId="0" applyFont="1"/>
    <xf numFmtId="0" fontId="14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EPS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'EPS&amp;DPS'!$A$7:$A$11</c:f>
              <c:numCache>
                <c:formatCode>General</c:formatCode>
                <c:ptCount val="5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</c:numCache>
            </c:numRef>
          </c:cat>
          <c:val>
            <c:numRef>
              <c:f>'EPS&amp;DPS'!$E$7:$E$11</c:f>
              <c:numCache>
                <c:formatCode>0.00</c:formatCode>
                <c:ptCount val="5"/>
                <c:pt idx="0">
                  <c:v>6.958333333333333</c:v>
                </c:pt>
                <c:pt idx="1">
                  <c:v>8.3711262282690857</c:v>
                </c:pt>
                <c:pt idx="2">
                  <c:v>10.139412207987943</c:v>
                </c:pt>
                <c:pt idx="3">
                  <c:v>12.157894736842104</c:v>
                </c:pt>
                <c:pt idx="4">
                  <c:v>13.071455293677516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1-40B2-B334-4FF53AFEA0F1}"/>
            </c:ext>
          </c:extLst>
        </c:ser>
        <c:ser>
          <c:idx val="1"/>
          <c:order val="1"/>
          <c:tx>
            <c:v>DPS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'EPS&amp;DPS'!$A$7:$A$11</c:f>
              <c:numCache>
                <c:formatCode>General</c:formatCode>
                <c:ptCount val="5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</c:numCache>
            </c:numRef>
          </c:cat>
          <c:val>
            <c:numRef>
              <c:f>'EPS&amp;DPS'!$F$7:$F$11</c:f>
              <c:numCache>
                <c:formatCode>0.00</c:formatCode>
                <c:ptCount val="5"/>
                <c:pt idx="0">
                  <c:v>3.4</c:v>
                </c:pt>
                <c:pt idx="1">
                  <c:v>3.8998488284202568</c:v>
                </c:pt>
                <c:pt idx="2">
                  <c:v>4.5</c:v>
                </c:pt>
                <c:pt idx="3">
                  <c:v>5.0999999999999996</c:v>
                </c:pt>
                <c:pt idx="4">
                  <c:v>5.6000748222970449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B1-40B2-B334-4FF53AFEA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127647"/>
        <c:axId val="512460191"/>
      </c:barChart>
      <c:catAx>
        <c:axId val="67812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12460191"/>
        <c:crosses val="autoZero"/>
        <c:auto val="1"/>
        <c:lblAlgn val="ctr"/>
        <c:lblOffset val="100"/>
        <c:noMultiLvlLbl val="0"/>
      </c:catAx>
      <c:valAx>
        <c:axId val="512460191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812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Firm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'Dividend Policy theory'!$C$128:$C$137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'Dividend Policy theory'!$D$128:$D$137</c:f>
              <c:numCache>
                <c:formatCode>General</c:formatCode>
                <c:ptCount val="10"/>
                <c:pt idx="0">
                  <c:v>135</c:v>
                </c:pt>
                <c:pt idx="1">
                  <c:v>130</c:v>
                </c:pt>
                <c:pt idx="2">
                  <c:v>125</c:v>
                </c:pt>
                <c:pt idx="3">
                  <c:v>120</c:v>
                </c:pt>
                <c:pt idx="4">
                  <c:v>115</c:v>
                </c:pt>
                <c:pt idx="5">
                  <c:v>110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4-4AC7-961D-39584ACB9179}"/>
            </c:ext>
          </c:extLst>
        </c:ser>
        <c:ser>
          <c:idx val="1"/>
          <c:order val="1"/>
          <c:tx>
            <c:v>Firm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'Dividend Policy theory'!$C$128:$C$137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'Dividend Policy theory'!$E$128:$E$137</c:f>
              <c:numCache>
                <c:formatCode>General</c:formatCode>
                <c:ptCount val="10"/>
                <c:pt idx="0">
                  <c:v>150</c:v>
                </c:pt>
                <c:pt idx="1">
                  <c:v>140</c:v>
                </c:pt>
                <c:pt idx="2">
                  <c:v>130</c:v>
                </c:pt>
                <c:pt idx="3">
                  <c:v>120</c:v>
                </c:pt>
                <c:pt idx="4">
                  <c:v>110</c:v>
                </c:pt>
                <c:pt idx="5">
                  <c:v>100</c:v>
                </c:pt>
                <c:pt idx="6">
                  <c:v>90</c:v>
                </c:pt>
                <c:pt idx="7">
                  <c:v>80</c:v>
                </c:pt>
                <c:pt idx="8">
                  <c:v>70</c:v>
                </c:pt>
                <c:pt idx="9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14-4AC7-961D-39584ACB9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007600"/>
        <c:axId val="953939680"/>
      </c:scatterChart>
      <c:valAx>
        <c:axId val="9420076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53939680"/>
        <c:crosses val="autoZero"/>
        <c:crossBetween val="midCat"/>
      </c:valAx>
      <c:valAx>
        <c:axId val="953939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4200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'Dividend policy practice'!$B$14:$B$25</c:f>
              <c:numCache>
                <c:formatCode>General</c:formatCode>
                <c:ptCount val="12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</c:numCache>
            </c:numRef>
          </c:xVal>
          <c:yVal>
            <c:numRef>
              <c:f>'Dividend policy practice'!$C$14:$C$25</c:f>
              <c:numCache>
                <c:formatCode>General</c:formatCode>
                <c:ptCount val="12"/>
                <c:pt idx="0">
                  <c:v>0.95</c:v>
                </c:pt>
                <c:pt idx="1">
                  <c:v>1.24</c:v>
                </c:pt>
                <c:pt idx="2">
                  <c:v>1.45</c:v>
                </c:pt>
                <c:pt idx="3">
                  <c:v>1.95</c:v>
                </c:pt>
                <c:pt idx="4">
                  <c:v>2.2000000000000002</c:v>
                </c:pt>
                <c:pt idx="5">
                  <c:v>2.63</c:v>
                </c:pt>
                <c:pt idx="6">
                  <c:v>3.02</c:v>
                </c:pt>
                <c:pt idx="7">
                  <c:v>3.12</c:v>
                </c:pt>
                <c:pt idx="8">
                  <c:v>3.4</c:v>
                </c:pt>
                <c:pt idx="9">
                  <c:v>3.9</c:v>
                </c:pt>
                <c:pt idx="10">
                  <c:v>4.5</c:v>
                </c:pt>
                <c:pt idx="11">
                  <c:v>5.0999999999999996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CD-4047-9754-A42BC5B35C9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'Dividend policy practice'!$B$14:$B$25</c:f>
              <c:numCache>
                <c:formatCode>General</c:formatCode>
                <c:ptCount val="12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</c:numCache>
            </c:numRef>
          </c:xVal>
          <c:yVal>
            <c:numRef>
              <c:f>'Dividend policy practice'!$D$14:$D$25</c:f>
              <c:numCache>
                <c:formatCode>General</c:formatCode>
                <c:ptCount val="12"/>
                <c:pt idx="0">
                  <c:v>2.1</c:v>
                </c:pt>
                <c:pt idx="1">
                  <c:v>2.64</c:v>
                </c:pt>
                <c:pt idx="2">
                  <c:v>3.47</c:v>
                </c:pt>
                <c:pt idx="3">
                  <c:v>3.62</c:v>
                </c:pt>
                <c:pt idx="4">
                  <c:v>3.79</c:v>
                </c:pt>
                <c:pt idx="5">
                  <c:v>4.6100000000000003</c:v>
                </c:pt>
                <c:pt idx="6">
                  <c:v>5.07</c:v>
                </c:pt>
                <c:pt idx="7">
                  <c:v>6.37</c:v>
                </c:pt>
                <c:pt idx="8">
                  <c:v>6.84</c:v>
                </c:pt>
                <c:pt idx="9">
                  <c:v>8.35</c:v>
                </c:pt>
                <c:pt idx="10">
                  <c:v>10.15</c:v>
                </c:pt>
                <c:pt idx="11">
                  <c:v>12.07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CD-4047-9754-A42BC5B35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243184"/>
        <c:axId val="654846672"/>
      </c:scatterChart>
      <c:valAx>
        <c:axId val="95024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4846672"/>
        <c:crosses val="autoZero"/>
        <c:crossBetween val="midCat"/>
      </c:valAx>
      <c:valAx>
        <c:axId val="654846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5024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xhere.com/en/photo/341318" TargetMode="External"/><Relationship Id="rId2" Type="http://schemas.openxmlformats.org/officeDocument/2006/relationships/image" Target="../media/image5.jpeg"/><Relationship Id="rId1" Type="http://schemas.openxmlformats.org/officeDocument/2006/relationships/image" Target="../media/image4.jpe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281940</xdr:colOff>
      <xdr:row>11</xdr:row>
      <xdr:rowOff>83820</xdr:rowOff>
    </xdr:from>
    <xdr:to>
      <xdr:col>9</xdr:col>
      <xdr:colOff>403860</xdr:colOff>
      <xdr:row>22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266700</xdr:colOff>
      <xdr:row>48</xdr:row>
      <xdr:rowOff>47625</xdr:rowOff>
    </xdr:from>
    <xdr:to>
      <xdr:col>9</xdr:col>
      <xdr:colOff>100965</xdr:colOff>
      <xdr:row>51</xdr:row>
      <xdr:rowOff>104775</xdr:rowOff>
    </xdr:to>
    <xdr:pic macro="[0]!Macro1">
      <xdr:nvPicPr>
        <xdr:cNvPr id="2057" name="Picture 9" descr="01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67300" y="8734425"/>
          <a:ext cx="1228725" cy="6286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137160</xdr:rowOff>
        </xdr:from>
        <xdr:to>
          <xdr:col>3</xdr:col>
          <xdr:colOff>411480</xdr:colOff>
          <xdr:row>9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00CC99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20</xdr:row>
          <xdr:rowOff>30480</xdr:rowOff>
        </xdr:from>
        <xdr:to>
          <xdr:col>2</xdr:col>
          <xdr:colOff>76200</xdr:colOff>
          <xdr:row>21</xdr:row>
          <xdr:rowOff>198120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00CC99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62</xdr:row>
          <xdr:rowOff>106680</xdr:rowOff>
        </xdr:from>
        <xdr:to>
          <xdr:col>2</xdr:col>
          <xdr:colOff>541020</xdr:colOff>
          <xdr:row>64</xdr:row>
          <xdr:rowOff>22860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00CC99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220979</xdr:colOff>
      <xdr:row>44</xdr:row>
      <xdr:rowOff>60960</xdr:rowOff>
    </xdr:from>
    <xdr:to>
      <xdr:col>20</xdr:col>
      <xdr:colOff>295841</xdr:colOff>
      <xdr:row>51</xdr:row>
      <xdr:rowOff>65532</xdr:rowOff>
    </xdr:to>
    <xdr:pic macro="[0]!Macro2">
      <xdr:nvPicPr>
        <xdr:cNvPr id="3" name="Picture 2">
          <a:extLst>
            <a:ext uri="{FF2B5EF4-FFF2-40B4-BE49-F238E27FC236}">
              <a16:creationId xmlns:a16="http://schemas.microsoft.com/office/drawing/2014/main" id="{FF958F62-A5E2-4779-BA1C-6630C9080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 flipH="1">
          <a:off x="10713719" y="7772400"/>
          <a:ext cx="1926522" cy="1261872"/>
        </a:xfrm>
        <a:prstGeom prst="rect">
          <a:avLst/>
        </a:prstGeom>
      </xdr:spPr>
    </xdr:pic>
    <xdr:clientData/>
  </xdr:twoCellAnchor>
  <xdr:twoCellAnchor>
    <xdr:from>
      <xdr:col>8</xdr:col>
      <xdr:colOff>213360</xdr:colOff>
      <xdr:row>122</xdr:row>
      <xdr:rowOff>45720</xdr:rowOff>
    </xdr:from>
    <xdr:to>
      <xdr:col>15</xdr:col>
      <xdr:colOff>175260</xdr:colOff>
      <xdr:row>138</xdr:row>
      <xdr:rowOff>160020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60BA27-AA1E-4F02-8C1F-60B7764BD2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13</xdr:row>
      <xdr:rowOff>38100</xdr:rowOff>
    </xdr:from>
    <xdr:to>
      <xdr:col>11</xdr:col>
      <xdr:colOff>0</xdr:colOff>
      <xdr:row>27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D7C79D-7F10-4DAD-A812-7258D54865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1"/>
  <sheetViews>
    <sheetView workbookViewId="0">
      <selection activeCell="L13" sqref="L13"/>
    </sheetView>
  </sheetViews>
  <sheetFormatPr defaultColWidth="9" defaultRowHeight="13.8" x14ac:dyDescent="0.25"/>
  <cols>
    <col min="1" max="16384" width="9" style="2"/>
  </cols>
  <sheetData>
    <row r="1" spans="1:8" x14ac:dyDescent="0.25">
      <c r="A1" s="1" t="s">
        <v>0</v>
      </c>
    </row>
    <row r="3" spans="1:8" x14ac:dyDescent="0.25">
      <c r="A3" s="1" t="s">
        <v>11</v>
      </c>
    </row>
    <row r="4" spans="1:8" x14ac:dyDescent="0.25">
      <c r="A4" s="6" t="s">
        <v>114</v>
      </c>
      <c r="B4" s="7"/>
    </row>
    <row r="5" spans="1:8" x14ac:dyDescent="0.25">
      <c r="A5" s="1" t="s">
        <v>4</v>
      </c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12</v>
      </c>
    </row>
    <row r="6" spans="1:8" x14ac:dyDescent="0.25">
      <c r="A6" s="1"/>
      <c r="C6" s="1"/>
      <c r="D6" s="1"/>
      <c r="E6" s="1"/>
      <c r="F6" s="1"/>
      <c r="G6" s="1"/>
      <c r="H6" s="1"/>
    </row>
    <row r="7" spans="1:8" x14ac:dyDescent="0.25">
      <c r="A7" s="2">
        <v>1993</v>
      </c>
      <c r="B7" s="1">
        <v>18370</v>
      </c>
      <c r="C7" s="2">
        <v>2640</v>
      </c>
      <c r="D7" s="2">
        <v>8976</v>
      </c>
      <c r="E7" s="3">
        <f>B7/C7</f>
        <v>6.958333333333333</v>
      </c>
      <c r="F7" s="3">
        <f>D7/C7</f>
        <v>3.4</v>
      </c>
      <c r="G7" s="4">
        <f>F7/E7</f>
        <v>0.488622754491018</v>
      </c>
      <c r="H7" s="5">
        <f>1-G7</f>
        <v>0.511377245508982</v>
      </c>
    </row>
    <row r="8" spans="1:8" x14ac:dyDescent="0.25">
      <c r="A8" s="2">
        <v>1994</v>
      </c>
      <c r="B8" s="2">
        <v>22150</v>
      </c>
      <c r="C8" s="2">
        <v>2646</v>
      </c>
      <c r="D8" s="2">
        <v>10319</v>
      </c>
      <c r="E8" s="3">
        <f t="shared" ref="E8:E10" si="0">B8/C8</f>
        <v>8.3711262282690857</v>
      </c>
      <c r="F8" s="3">
        <f t="shared" ref="F8:F11" si="1">D8/C8</f>
        <v>3.8998488284202568</v>
      </c>
      <c r="G8" s="4">
        <f t="shared" ref="G8:G11" si="2">F8/E8</f>
        <v>0.4658690744920993</v>
      </c>
      <c r="H8" s="5">
        <f t="shared" ref="H8:H11" si="3">1-G8</f>
        <v>0.53413092550790076</v>
      </c>
    </row>
    <row r="9" spans="1:8" x14ac:dyDescent="0.25">
      <c r="A9" s="2">
        <v>1995</v>
      </c>
      <c r="B9" s="2">
        <v>26910</v>
      </c>
      <c r="C9" s="2">
        <v>2654</v>
      </c>
      <c r="D9" s="2">
        <v>11943</v>
      </c>
      <c r="E9" s="3">
        <f t="shared" si="0"/>
        <v>10.139412207987943</v>
      </c>
      <c r="F9" s="3">
        <f t="shared" si="1"/>
        <v>4.5</v>
      </c>
      <c r="G9" s="4">
        <f t="shared" si="2"/>
        <v>0.44381270903010028</v>
      </c>
      <c r="H9" s="5">
        <f t="shared" si="3"/>
        <v>0.55618729096989972</v>
      </c>
    </row>
    <row r="10" spans="1:8" x14ac:dyDescent="0.25">
      <c r="A10" s="2">
        <v>1996</v>
      </c>
      <c r="B10" s="2">
        <v>32340</v>
      </c>
      <c r="C10" s="2">
        <v>2660</v>
      </c>
      <c r="D10" s="2">
        <v>13566</v>
      </c>
      <c r="E10" s="3">
        <f t="shared" si="0"/>
        <v>12.157894736842104</v>
      </c>
      <c r="F10" s="3">
        <f t="shared" si="1"/>
        <v>5.0999999999999996</v>
      </c>
      <c r="G10" s="4">
        <f t="shared" si="2"/>
        <v>0.41948051948051945</v>
      </c>
      <c r="H10" s="5">
        <f t="shared" si="3"/>
        <v>0.58051948051948055</v>
      </c>
    </row>
    <row r="11" spans="1:8" x14ac:dyDescent="0.25">
      <c r="A11" s="2">
        <v>1997</v>
      </c>
      <c r="B11" s="2">
        <v>34940</v>
      </c>
      <c r="C11" s="2">
        <v>2673</v>
      </c>
      <c r="D11" s="2">
        <v>14969</v>
      </c>
      <c r="E11" s="3">
        <f>B11/C11</f>
        <v>13.071455293677516</v>
      </c>
      <c r="F11" s="3">
        <f t="shared" si="1"/>
        <v>5.6000748222970449</v>
      </c>
      <c r="G11" s="4">
        <f t="shared" si="2"/>
        <v>0.42842014882655982</v>
      </c>
      <c r="H11" s="5">
        <f t="shared" si="3"/>
        <v>0.57157985117344023</v>
      </c>
    </row>
    <row r="12" spans="1:8" x14ac:dyDescent="0.25">
      <c r="A12" s="6" t="s">
        <v>115</v>
      </c>
      <c r="B12" s="7"/>
      <c r="C12" s="7"/>
    </row>
    <row r="24" spans="1:6" x14ac:dyDescent="0.25">
      <c r="A24" s="6" t="s">
        <v>116</v>
      </c>
      <c r="B24" s="7"/>
      <c r="C24" s="7"/>
      <c r="D24" s="7"/>
      <c r="E24" s="7"/>
    </row>
    <row r="26" spans="1:6" x14ac:dyDescent="0.25">
      <c r="B26" s="5"/>
    </row>
    <row r="27" spans="1:6" x14ac:dyDescent="0.25">
      <c r="C27" s="4"/>
      <c r="D27" s="4"/>
      <c r="E27" s="4"/>
      <c r="F27" s="4"/>
    </row>
    <row r="28" spans="1:6" x14ac:dyDescent="0.25">
      <c r="C28" s="4"/>
      <c r="D28" s="4"/>
      <c r="E28" s="4"/>
      <c r="F28" s="4"/>
    </row>
    <row r="29" spans="1:6" x14ac:dyDescent="0.25">
      <c r="C29" s="4"/>
      <c r="D29" s="4"/>
      <c r="E29" s="4"/>
      <c r="F29" s="4"/>
    </row>
    <row r="30" spans="1:6" x14ac:dyDescent="0.25">
      <c r="C30" s="4"/>
      <c r="D30" s="4"/>
      <c r="E30" s="4"/>
      <c r="F30" s="4"/>
    </row>
    <row r="31" spans="1:6" x14ac:dyDescent="0.25">
      <c r="C31" s="4"/>
      <c r="D31" s="4"/>
      <c r="E31" s="4"/>
      <c r="F31" s="4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42"/>
  <sheetViews>
    <sheetView topLeftCell="A118" zoomScaleNormal="100" workbookViewId="0">
      <selection activeCell="R134" sqref="R134"/>
    </sheetView>
  </sheetViews>
  <sheetFormatPr defaultColWidth="9" defaultRowHeight="13.8" x14ac:dyDescent="0.25"/>
  <cols>
    <col min="1" max="2" width="9.109375" style="12" bestFit="1" customWidth="1"/>
    <col min="3" max="3" width="9.6640625" style="12" bestFit="1" customWidth="1"/>
    <col min="4" max="8" width="9.21875" style="12" bestFit="1" customWidth="1"/>
    <col min="9" max="9" width="9.109375" style="12" bestFit="1" customWidth="1"/>
    <col min="10" max="11" width="9.6640625" style="12" bestFit="1" customWidth="1"/>
    <col min="12" max="12" width="10.6640625" style="12" bestFit="1" customWidth="1"/>
    <col min="13" max="13" width="9.6640625" style="12" bestFit="1" customWidth="1"/>
    <col min="14" max="15" width="9.21875" style="12" bestFit="1" customWidth="1"/>
    <col min="16" max="16" width="9.77734375" style="12" bestFit="1" customWidth="1"/>
    <col min="17" max="17" width="9.21875" style="12" bestFit="1" customWidth="1"/>
    <col min="18" max="16384" width="9" style="12"/>
  </cols>
  <sheetData>
    <row r="1" spans="1:3" x14ac:dyDescent="0.25">
      <c r="A1" s="12" t="s">
        <v>13</v>
      </c>
    </row>
    <row r="2" spans="1:3" x14ac:dyDescent="0.25">
      <c r="A2" s="13" t="s">
        <v>46</v>
      </c>
      <c r="B2" s="14"/>
      <c r="C2" s="14"/>
    </row>
    <row r="3" spans="1:3" x14ac:dyDescent="0.25">
      <c r="A3" s="12" t="s">
        <v>25</v>
      </c>
    </row>
    <row r="5" spans="1:3" x14ac:dyDescent="0.25">
      <c r="A5" s="12" t="s">
        <v>14</v>
      </c>
    </row>
    <row r="6" spans="1:3" x14ac:dyDescent="0.25">
      <c r="A6" s="12" t="s">
        <v>125</v>
      </c>
    </row>
    <row r="7" spans="1:3" x14ac:dyDescent="0.25">
      <c r="A7" s="15" t="s">
        <v>143</v>
      </c>
    </row>
    <row r="11" spans="1:3" x14ac:dyDescent="0.25">
      <c r="A11" s="12" t="s">
        <v>15</v>
      </c>
    </row>
    <row r="13" spans="1:3" x14ac:dyDescent="0.25">
      <c r="A13" s="15" t="s">
        <v>135</v>
      </c>
    </row>
    <row r="14" spans="1:3" x14ac:dyDescent="0.25">
      <c r="A14" s="12" t="s">
        <v>16</v>
      </c>
    </row>
    <row r="15" spans="1:3" x14ac:dyDescent="0.25">
      <c r="B15" s="12" t="s">
        <v>26</v>
      </c>
      <c r="C15" s="12" t="s">
        <v>27</v>
      </c>
    </row>
    <row r="16" spans="1:3" x14ac:dyDescent="0.25">
      <c r="A16" s="12" t="s">
        <v>28</v>
      </c>
      <c r="B16" s="12">
        <v>10000</v>
      </c>
      <c r="C16" s="12">
        <v>10000</v>
      </c>
    </row>
    <row r="17" spans="1:3" x14ac:dyDescent="0.25">
      <c r="A17" s="12" t="s">
        <v>29</v>
      </c>
      <c r="B17" s="12">
        <v>11000</v>
      </c>
    </row>
    <row r="18" spans="1:3" x14ac:dyDescent="0.25">
      <c r="A18" s="12" t="s">
        <v>30</v>
      </c>
      <c r="B18" s="12">
        <v>1000</v>
      </c>
      <c r="C18" s="12">
        <v>-1100</v>
      </c>
    </row>
    <row r="19" spans="1:3" x14ac:dyDescent="0.25">
      <c r="A19" s="12" t="s">
        <v>17</v>
      </c>
      <c r="B19" s="12">
        <v>11000</v>
      </c>
      <c r="C19" s="12">
        <v>8900</v>
      </c>
    </row>
    <row r="20" spans="1:3" x14ac:dyDescent="0.25">
      <c r="A20" s="16" t="s">
        <v>31</v>
      </c>
      <c r="B20" s="12">
        <v>110</v>
      </c>
      <c r="C20" s="12">
        <v>89</v>
      </c>
    </row>
    <row r="23" spans="1:3" x14ac:dyDescent="0.25">
      <c r="A23" s="17" t="s">
        <v>136</v>
      </c>
    </row>
    <row r="24" spans="1:3" x14ac:dyDescent="0.25">
      <c r="A24" s="12" t="s">
        <v>18</v>
      </c>
    </row>
    <row r="26" spans="1:3" x14ac:dyDescent="0.25">
      <c r="A26" s="12" t="s">
        <v>19</v>
      </c>
    </row>
    <row r="27" spans="1:3" x14ac:dyDescent="0.25">
      <c r="B27" s="12" t="s">
        <v>32</v>
      </c>
      <c r="C27" s="12" t="s">
        <v>33</v>
      </c>
    </row>
    <row r="28" spans="1:3" x14ac:dyDescent="0.25">
      <c r="A28" s="12" t="s">
        <v>29</v>
      </c>
      <c r="B28" s="12">
        <v>110</v>
      </c>
      <c r="C28" s="12">
        <v>89</v>
      </c>
    </row>
    <row r="29" spans="1:3" x14ac:dyDescent="0.25">
      <c r="A29" s="12" t="s">
        <v>20</v>
      </c>
      <c r="B29" s="12">
        <v>-10</v>
      </c>
      <c r="C29" s="12">
        <v>11</v>
      </c>
    </row>
    <row r="30" spans="1:3" x14ac:dyDescent="0.25">
      <c r="A30" s="12" t="s">
        <v>34</v>
      </c>
      <c r="B30" s="12">
        <v>100</v>
      </c>
      <c r="C30" s="12">
        <v>100</v>
      </c>
    </row>
    <row r="32" spans="1:3" x14ac:dyDescent="0.25">
      <c r="A32" s="12" t="s">
        <v>21</v>
      </c>
    </row>
    <row r="33" spans="1:8" x14ac:dyDescent="0.25">
      <c r="B33" s="12" t="s">
        <v>32</v>
      </c>
      <c r="C33" s="12" t="s">
        <v>33</v>
      </c>
    </row>
    <row r="34" spans="1:8" x14ac:dyDescent="0.25">
      <c r="A34" s="12" t="s">
        <v>22</v>
      </c>
      <c r="B34" s="12">
        <v>100</v>
      </c>
      <c r="C34" s="12">
        <v>100</v>
      </c>
    </row>
    <row r="35" spans="1:8" x14ac:dyDescent="0.25">
      <c r="A35" s="12" t="s">
        <v>23</v>
      </c>
      <c r="B35" s="12">
        <v>10</v>
      </c>
      <c r="C35" s="12">
        <v>-11</v>
      </c>
    </row>
    <row r="36" spans="1:8" x14ac:dyDescent="0.25">
      <c r="A36" s="12" t="s">
        <v>24</v>
      </c>
      <c r="B36" s="12">
        <v>110</v>
      </c>
      <c r="C36" s="12">
        <v>89</v>
      </c>
    </row>
    <row r="38" spans="1:8" x14ac:dyDescent="0.25">
      <c r="A38" s="12" t="s">
        <v>35</v>
      </c>
      <c r="G38" s="12" t="s">
        <v>130</v>
      </c>
    </row>
    <row r="39" spans="1:8" x14ac:dyDescent="0.25">
      <c r="A39" s="12" t="s">
        <v>36</v>
      </c>
      <c r="C39" s="12">
        <v>50000</v>
      </c>
    </row>
    <row r="40" spans="1:8" x14ac:dyDescent="0.25">
      <c r="A40" s="12" t="s">
        <v>3</v>
      </c>
      <c r="C40" s="12">
        <v>1</v>
      </c>
    </row>
    <row r="41" spans="1:8" x14ac:dyDescent="0.25">
      <c r="A41" s="12" t="s">
        <v>37</v>
      </c>
      <c r="C41" s="12">
        <v>20</v>
      </c>
    </row>
    <row r="42" spans="1:8" x14ac:dyDescent="0.25">
      <c r="A42" s="12" t="s">
        <v>38</v>
      </c>
      <c r="C42" s="12">
        <f>C39*C40</f>
        <v>50000</v>
      </c>
    </row>
    <row r="44" spans="1:8" x14ac:dyDescent="0.25">
      <c r="A44" s="12" t="s">
        <v>39</v>
      </c>
      <c r="C44" s="18">
        <v>-2105.2631578947371</v>
      </c>
    </row>
    <row r="45" spans="1:8" x14ac:dyDescent="0.25">
      <c r="A45" s="12" t="s">
        <v>40</v>
      </c>
      <c r="C45" s="18">
        <f>C39-C44</f>
        <v>52105.26315789474</v>
      </c>
    </row>
    <row r="46" spans="1:8" x14ac:dyDescent="0.25">
      <c r="A46" s="12" t="s">
        <v>41</v>
      </c>
      <c r="C46" s="18">
        <f>C45*C40</f>
        <v>52105.26315789474</v>
      </c>
    </row>
    <row r="47" spans="1:8" x14ac:dyDescent="0.25">
      <c r="A47" s="12" t="s">
        <v>42</v>
      </c>
      <c r="C47" s="18">
        <f>C44*C41</f>
        <v>-42105.26315789474</v>
      </c>
    </row>
    <row r="48" spans="1:8" x14ac:dyDescent="0.25">
      <c r="A48" s="12" t="s">
        <v>45</v>
      </c>
      <c r="C48" s="12">
        <f>C46+C47</f>
        <v>10000</v>
      </c>
      <c r="D48" s="12" t="s">
        <v>129</v>
      </c>
      <c r="E48" s="12">
        <v>10000</v>
      </c>
      <c r="H48" s="12">
        <v>10000</v>
      </c>
    </row>
    <row r="49" spans="1:17" ht="16.2" x14ac:dyDescent="0.3">
      <c r="A49" s="19" t="s">
        <v>118</v>
      </c>
      <c r="B49" s="20"/>
      <c r="C49" s="20"/>
      <c r="H49" s="21"/>
      <c r="L49" s="22" t="s">
        <v>131</v>
      </c>
      <c r="M49" s="22"/>
      <c r="N49" s="22"/>
      <c r="O49" s="22"/>
      <c r="P49" s="22"/>
      <c r="Q49" s="22"/>
    </row>
    <row r="50" spans="1:17" x14ac:dyDescent="0.25">
      <c r="B50" s="12" t="s">
        <v>43</v>
      </c>
      <c r="C50" s="12" t="s">
        <v>44</v>
      </c>
      <c r="D50" s="12" t="s">
        <v>40</v>
      </c>
      <c r="E50" s="12" t="s">
        <v>41</v>
      </c>
      <c r="F50" s="12" t="s">
        <v>42</v>
      </c>
      <c r="G50" s="12" t="s">
        <v>117</v>
      </c>
      <c r="L50" s="12" t="s">
        <v>43</v>
      </c>
      <c r="M50" s="12" t="s">
        <v>44</v>
      </c>
      <c r="N50" s="12" t="s">
        <v>40</v>
      </c>
      <c r="O50" s="12" t="s">
        <v>41</v>
      </c>
      <c r="P50" s="12" t="s">
        <v>42</v>
      </c>
      <c r="Q50" s="12" t="s">
        <v>117</v>
      </c>
    </row>
    <row r="51" spans="1:17" x14ac:dyDescent="0.25">
      <c r="B51" s="12">
        <v>100000</v>
      </c>
      <c r="C51" s="12">
        <v>2631.5789473684208</v>
      </c>
      <c r="D51" s="12">
        <v>47368.42105263158</v>
      </c>
      <c r="E51" s="12">
        <v>47368.42105263158</v>
      </c>
      <c r="F51" s="12">
        <v>52631.578947368413</v>
      </c>
      <c r="G51" s="12">
        <v>100000</v>
      </c>
      <c r="L51" s="12">
        <v>100000</v>
      </c>
      <c r="M51" s="18">
        <v>2631.5789473684217</v>
      </c>
      <c r="N51" s="18">
        <v>47368.42105263158</v>
      </c>
      <c r="O51" s="18">
        <v>47368.42105263158</v>
      </c>
      <c r="P51" s="18">
        <v>52631.578947368434</v>
      </c>
      <c r="Q51" s="12">
        <v>100000.00000000001</v>
      </c>
    </row>
    <row r="52" spans="1:17" x14ac:dyDescent="0.25">
      <c r="B52" s="12">
        <v>90000</v>
      </c>
      <c r="C52" s="12">
        <v>2105.2631578947367</v>
      </c>
      <c r="D52" s="12">
        <v>47894.736842105267</v>
      </c>
      <c r="E52" s="12">
        <v>47894.736842105267</v>
      </c>
      <c r="F52" s="12">
        <v>42105.263157894733</v>
      </c>
      <c r="G52" s="12">
        <v>90000</v>
      </c>
      <c r="L52" s="12">
        <v>90000</v>
      </c>
      <c r="M52" s="18">
        <v>2105.2631578947362</v>
      </c>
      <c r="N52" s="18">
        <v>47894.736842105267</v>
      </c>
      <c r="O52" s="18">
        <v>47894.736842105267</v>
      </c>
      <c r="P52" s="18">
        <v>42105.263157894726</v>
      </c>
      <c r="Q52" s="12">
        <v>90000</v>
      </c>
    </row>
    <row r="53" spans="1:17" x14ac:dyDescent="0.25">
      <c r="B53" s="12">
        <v>80000</v>
      </c>
      <c r="C53" s="12">
        <v>1578.947368421052</v>
      </c>
      <c r="D53" s="12">
        <v>48421.052631578947</v>
      </c>
      <c r="E53" s="12">
        <v>48421.052631578947</v>
      </c>
      <c r="F53" s="12">
        <v>31578.947368421039</v>
      </c>
      <c r="G53" s="12">
        <v>79999.999999999985</v>
      </c>
      <c r="L53" s="12">
        <v>80000</v>
      </c>
      <c r="M53" s="18">
        <v>1578.9473684210525</v>
      </c>
      <c r="N53" s="18">
        <v>48421.052631578947</v>
      </c>
      <c r="O53" s="18">
        <v>48421.052631578947</v>
      </c>
      <c r="P53" s="18">
        <v>31578.94736842105</v>
      </c>
      <c r="Q53" s="12">
        <v>80000</v>
      </c>
    </row>
    <row r="54" spans="1:17" x14ac:dyDescent="0.25">
      <c r="B54" s="12">
        <v>70000</v>
      </c>
      <c r="C54" s="12">
        <v>1052.6315789473681</v>
      </c>
      <c r="D54" s="12">
        <v>48947.368421052633</v>
      </c>
      <c r="E54" s="12">
        <v>48947.368421052633</v>
      </c>
      <c r="F54" s="12">
        <v>21052.631578947363</v>
      </c>
      <c r="G54" s="12">
        <v>70000</v>
      </c>
      <c r="L54" s="12">
        <v>70000</v>
      </c>
      <c r="M54" s="18">
        <v>1052.6315789473683</v>
      </c>
      <c r="N54" s="18">
        <v>48947.368421052633</v>
      </c>
      <c r="O54" s="18">
        <v>48947.368421052633</v>
      </c>
      <c r="P54" s="18">
        <v>21052.631578947367</v>
      </c>
      <c r="Q54" s="12">
        <v>70000</v>
      </c>
    </row>
    <row r="55" spans="1:17" x14ac:dyDescent="0.25">
      <c r="B55" s="12">
        <v>60000</v>
      </c>
      <c r="C55" s="12">
        <v>526.31578947368462</v>
      </c>
      <c r="D55" s="12">
        <v>49473.684210526313</v>
      </c>
      <c r="E55" s="12">
        <v>49473.684210526313</v>
      </c>
      <c r="F55" s="12">
        <v>10526.315789473692</v>
      </c>
      <c r="G55" s="12">
        <v>60000.000000000007</v>
      </c>
      <c r="L55" s="12">
        <v>60000</v>
      </c>
      <c r="M55" s="18">
        <v>526.31578947368484</v>
      </c>
      <c r="N55" s="18">
        <v>49473.684210526313</v>
      </c>
      <c r="O55" s="18">
        <v>49473.684210526313</v>
      </c>
      <c r="P55" s="18">
        <v>10526.315789473698</v>
      </c>
      <c r="Q55" s="12">
        <v>60000.000000000015</v>
      </c>
    </row>
    <row r="56" spans="1:17" x14ac:dyDescent="0.25">
      <c r="B56" s="12">
        <v>50000</v>
      </c>
      <c r="C56" s="12">
        <v>-3.979039320256561E-13</v>
      </c>
      <c r="D56" s="12">
        <v>50000</v>
      </c>
      <c r="E56" s="12">
        <v>50000</v>
      </c>
      <c r="F56" s="12">
        <v>-7.9580786405131221E-12</v>
      </c>
      <c r="G56" s="12">
        <v>49999.999999999993</v>
      </c>
      <c r="L56" s="12">
        <v>50000</v>
      </c>
      <c r="M56" s="18">
        <v>-8.5265128291212022E-14</v>
      </c>
      <c r="N56" s="18">
        <v>50000</v>
      </c>
      <c r="O56" s="18">
        <v>50000</v>
      </c>
      <c r="P56" s="18">
        <v>-1.7053025658242404E-12</v>
      </c>
      <c r="Q56" s="12">
        <v>50000</v>
      </c>
    </row>
    <row r="57" spans="1:17" x14ac:dyDescent="0.25">
      <c r="B57" s="12">
        <v>40000</v>
      </c>
      <c r="C57" s="12">
        <v>-526.31578947368462</v>
      </c>
      <c r="D57" s="12">
        <v>50526.315789473687</v>
      </c>
      <c r="E57" s="12">
        <v>50526.315789473687</v>
      </c>
      <c r="F57" s="12">
        <v>-10526.315789473692</v>
      </c>
      <c r="G57" s="12">
        <v>39999.999999999993</v>
      </c>
      <c r="L57" s="12">
        <v>40000</v>
      </c>
      <c r="M57" s="18">
        <v>-526.31578947368394</v>
      </c>
      <c r="N57" s="18">
        <v>50526.315789473687</v>
      </c>
      <c r="O57" s="18">
        <v>50526.315789473687</v>
      </c>
      <c r="P57" s="18">
        <v>-10526.31578947368</v>
      </c>
      <c r="Q57" s="12">
        <v>40000.000000000007</v>
      </c>
    </row>
    <row r="58" spans="1:17" x14ac:dyDescent="0.25">
      <c r="B58" s="12">
        <v>30000</v>
      </c>
      <c r="C58" s="12">
        <v>-1052.6315789473681</v>
      </c>
      <c r="D58" s="12">
        <v>51052.631578947367</v>
      </c>
      <c r="E58" s="12">
        <v>51052.631578947367</v>
      </c>
      <c r="F58" s="12">
        <v>-21052.631578947363</v>
      </c>
      <c r="G58" s="12">
        <v>30000.000000000004</v>
      </c>
      <c r="L58" s="12">
        <v>30000</v>
      </c>
      <c r="M58" s="18">
        <v>-1052.6315789473683</v>
      </c>
      <c r="N58" s="18">
        <v>51052.631578947367</v>
      </c>
      <c r="O58" s="18">
        <v>51052.631578947367</v>
      </c>
      <c r="P58" s="18">
        <v>-21052.631578947367</v>
      </c>
      <c r="Q58" s="12">
        <v>30000</v>
      </c>
    </row>
    <row r="59" spans="1:17" x14ac:dyDescent="0.25">
      <c r="B59" s="12">
        <v>20000</v>
      </c>
      <c r="C59" s="12">
        <v>-1578.9473684210525</v>
      </c>
      <c r="D59" s="12">
        <v>51578.947368421053</v>
      </c>
      <c r="E59" s="12">
        <v>51578.947368421053</v>
      </c>
      <c r="F59" s="12">
        <v>-31578.94736842105</v>
      </c>
      <c r="G59" s="12">
        <v>20000.000000000004</v>
      </c>
      <c r="L59" s="12">
        <v>20000</v>
      </c>
      <c r="M59" s="18">
        <v>-1578.9473684210527</v>
      </c>
      <c r="N59" s="18">
        <v>51578.947368421053</v>
      </c>
      <c r="O59" s="18">
        <v>51578.947368421053</v>
      </c>
      <c r="P59" s="18">
        <v>-31578.947368421053</v>
      </c>
      <c r="Q59" s="12">
        <v>20000</v>
      </c>
    </row>
    <row r="60" spans="1:17" x14ac:dyDescent="0.25">
      <c r="B60" s="12">
        <v>10000</v>
      </c>
      <c r="C60" s="12">
        <v>-2105.2631578947371</v>
      </c>
      <c r="D60" s="12">
        <v>52105.26315789474</v>
      </c>
      <c r="E60" s="12">
        <v>52105.26315789474</v>
      </c>
      <c r="F60" s="12">
        <v>-42105.26315789474</v>
      </c>
      <c r="G60" s="12">
        <v>10000</v>
      </c>
      <c r="L60" s="12">
        <v>10000</v>
      </c>
      <c r="M60" s="18">
        <v>-2105.2631578947367</v>
      </c>
      <c r="N60" s="18">
        <v>52105.263157894733</v>
      </c>
      <c r="O60" s="18">
        <v>52105.263157894733</v>
      </c>
      <c r="P60" s="18">
        <v>-42105.263157894733</v>
      </c>
      <c r="Q60" s="12">
        <v>10000</v>
      </c>
    </row>
    <row r="62" spans="1:17" x14ac:dyDescent="0.25">
      <c r="A62" s="13" t="s">
        <v>47</v>
      </c>
      <c r="B62" s="13"/>
    </row>
    <row r="64" spans="1:17" x14ac:dyDescent="0.25">
      <c r="D64" s="12" t="s">
        <v>144</v>
      </c>
    </row>
    <row r="66" spans="1:2" x14ac:dyDescent="0.25">
      <c r="A66" s="12" t="s">
        <v>48</v>
      </c>
    </row>
    <row r="67" spans="1:2" x14ac:dyDescent="0.25">
      <c r="A67" s="12" t="s">
        <v>49</v>
      </c>
    </row>
    <row r="68" spans="1:2" x14ac:dyDescent="0.25">
      <c r="A68" s="12" t="s">
        <v>50</v>
      </c>
    </row>
    <row r="69" spans="1:2" x14ac:dyDescent="0.25">
      <c r="A69" s="12" t="s">
        <v>51</v>
      </c>
    </row>
    <row r="71" spans="1:2" x14ac:dyDescent="0.25">
      <c r="A71" s="12" t="s">
        <v>52</v>
      </c>
      <c r="B71" s="12" t="s">
        <v>55</v>
      </c>
    </row>
    <row r="72" spans="1:2" x14ac:dyDescent="0.25">
      <c r="A72" s="12" t="s">
        <v>53</v>
      </c>
      <c r="B72" s="12" t="s">
        <v>56</v>
      </c>
    </row>
    <row r="73" spans="1:2" x14ac:dyDescent="0.25">
      <c r="A73" s="12" t="s">
        <v>54</v>
      </c>
      <c r="B73" s="12" t="s">
        <v>57</v>
      </c>
    </row>
    <row r="75" spans="1:2" x14ac:dyDescent="0.25">
      <c r="A75" s="12" t="s">
        <v>2</v>
      </c>
      <c r="B75" s="12">
        <v>2</v>
      </c>
    </row>
    <row r="76" spans="1:2" x14ac:dyDescent="0.25">
      <c r="A76" s="12" t="s">
        <v>59</v>
      </c>
      <c r="B76" s="23">
        <v>0.6</v>
      </c>
    </row>
    <row r="77" spans="1:2" x14ac:dyDescent="0.25">
      <c r="A77" s="12" t="s">
        <v>58</v>
      </c>
      <c r="B77" s="23">
        <f>1-B76</f>
        <v>0.4</v>
      </c>
    </row>
    <row r="78" spans="1:2" x14ac:dyDescent="0.25">
      <c r="A78" s="12" t="s">
        <v>60</v>
      </c>
      <c r="B78" s="23">
        <v>0.12</v>
      </c>
    </row>
    <row r="79" spans="1:2" x14ac:dyDescent="0.25">
      <c r="A79" s="12" t="s">
        <v>61</v>
      </c>
      <c r="B79" s="23">
        <v>0.16</v>
      </c>
    </row>
    <row r="80" spans="1:2" x14ac:dyDescent="0.25">
      <c r="A80" s="12" t="s">
        <v>62</v>
      </c>
      <c r="B80" s="18">
        <f>(B77*B75)/(B78-B76*B79)</f>
        <v>33.333333333333343</v>
      </c>
    </row>
    <row r="81" spans="1:15" x14ac:dyDescent="0.25">
      <c r="A81" s="19" t="s">
        <v>119</v>
      </c>
      <c r="B81" s="24"/>
    </row>
    <row r="82" spans="1:15" x14ac:dyDescent="0.25">
      <c r="A82" s="25" t="s">
        <v>132</v>
      </c>
      <c r="B82" s="25" t="s">
        <v>133</v>
      </c>
      <c r="C82" s="12" t="s">
        <v>134</v>
      </c>
      <c r="D82" s="12" t="s">
        <v>133</v>
      </c>
      <c r="H82" s="25"/>
      <c r="I82" s="25"/>
      <c r="J82" s="25"/>
      <c r="K82" s="25"/>
      <c r="L82" s="25"/>
    </row>
    <row r="83" spans="1:15" x14ac:dyDescent="0.25">
      <c r="A83" s="25"/>
      <c r="B83" s="26">
        <f>B80</f>
        <v>33.333333333333343</v>
      </c>
      <c r="C83" s="27"/>
      <c r="D83" s="18">
        <f>B80</f>
        <v>33.333333333333343</v>
      </c>
      <c r="H83" s="28"/>
      <c r="I83" s="28"/>
      <c r="J83" s="28"/>
      <c r="K83" s="28"/>
      <c r="L83" s="28"/>
    </row>
    <row r="84" spans="1:15" x14ac:dyDescent="0.25">
      <c r="A84" s="28">
        <v>0.05</v>
      </c>
      <c r="B84" s="26">
        <f t="dataTable" ref="B84:B93" dt2D="0" dtr="0" r1="B78"/>
        <v>-17.39130434782609</v>
      </c>
      <c r="C84" s="27">
        <v>0.1</v>
      </c>
      <c r="D84" s="18">
        <f t="dataTable" ref="D84:D93" dt2D="0" dtr="0" r1="B79" ca="1"/>
        <v>13.333333333333334</v>
      </c>
      <c r="H84" s="26"/>
      <c r="I84" s="26"/>
      <c r="J84" s="26"/>
      <c r="K84" s="26"/>
      <c r="L84" s="26"/>
    </row>
    <row r="85" spans="1:15" x14ac:dyDescent="0.25">
      <c r="A85" s="28">
        <v>0.06</v>
      </c>
      <c r="B85" s="26">
        <v>-22.222222222222221</v>
      </c>
      <c r="C85" s="23">
        <v>0.11</v>
      </c>
      <c r="D85" s="18">
        <v>14.814814814814818</v>
      </c>
      <c r="H85" s="26"/>
      <c r="I85" s="26"/>
      <c r="J85" s="26"/>
      <c r="K85" s="26"/>
      <c r="L85" s="26"/>
    </row>
    <row r="86" spans="1:15" x14ac:dyDescent="0.25">
      <c r="A86" s="28">
        <v>7.0000000000000007E-2</v>
      </c>
      <c r="B86" s="26">
        <v>-30.769230769230777</v>
      </c>
      <c r="C86" s="27">
        <v>0.12</v>
      </c>
      <c r="D86" s="18">
        <v>16.666666666666668</v>
      </c>
      <c r="H86" s="26"/>
      <c r="I86" s="26"/>
      <c r="J86" s="26"/>
      <c r="K86" s="26"/>
      <c r="L86" s="26"/>
    </row>
    <row r="87" spans="1:15" x14ac:dyDescent="0.25">
      <c r="A87" s="28">
        <v>0.08</v>
      </c>
      <c r="B87" s="26">
        <v>-50</v>
      </c>
      <c r="C87" s="23">
        <v>0.13</v>
      </c>
      <c r="D87" s="18">
        <v>19.047619047619051</v>
      </c>
      <c r="H87" s="26"/>
      <c r="I87" s="26"/>
      <c r="J87" s="26"/>
      <c r="K87" s="26"/>
      <c r="L87" s="26"/>
    </row>
    <row r="88" spans="1:15" x14ac:dyDescent="0.25">
      <c r="A88" s="28">
        <v>0.09</v>
      </c>
      <c r="B88" s="26">
        <v>-133.33333333333323</v>
      </c>
      <c r="C88" s="27">
        <v>0.14000000000000001</v>
      </c>
      <c r="D88" s="18">
        <v>22.222222222222229</v>
      </c>
      <c r="H88" s="26"/>
      <c r="I88" s="26"/>
      <c r="J88" s="26"/>
      <c r="K88" s="26"/>
      <c r="L88" s="26"/>
    </row>
    <row r="89" spans="1:15" x14ac:dyDescent="0.25">
      <c r="A89" s="28">
        <v>0.1</v>
      </c>
      <c r="B89" s="26">
        <v>199.99999999999983</v>
      </c>
      <c r="C89" s="23">
        <v>0.15</v>
      </c>
      <c r="D89" s="18">
        <v>26.666666666666668</v>
      </c>
      <c r="H89" s="26"/>
      <c r="I89" s="26"/>
      <c r="J89" s="26"/>
      <c r="K89" s="26"/>
      <c r="L89" s="26"/>
    </row>
    <row r="90" spans="1:15" x14ac:dyDescent="0.25">
      <c r="A90" s="28">
        <v>0.11</v>
      </c>
      <c r="B90" s="26">
        <v>57.142857142857153</v>
      </c>
      <c r="C90" s="27">
        <v>0.16</v>
      </c>
      <c r="D90" s="18">
        <v>33.333333333333343</v>
      </c>
      <c r="H90" s="26"/>
      <c r="I90" s="26"/>
      <c r="J90" s="26"/>
      <c r="K90" s="26"/>
      <c r="L90" s="26"/>
    </row>
    <row r="91" spans="1:15" x14ac:dyDescent="0.25">
      <c r="A91" s="28">
        <v>0.12</v>
      </c>
      <c r="B91" s="26">
        <v>33.333333333333343</v>
      </c>
      <c r="C91" s="23">
        <v>0.17</v>
      </c>
      <c r="D91" s="18">
        <v>44.444444444444478</v>
      </c>
      <c r="H91" s="26"/>
      <c r="I91" s="26"/>
      <c r="J91" s="26"/>
      <c r="K91" s="26"/>
      <c r="L91" s="26"/>
    </row>
    <row r="92" spans="1:15" x14ac:dyDescent="0.25">
      <c r="A92" s="28">
        <v>0.13</v>
      </c>
      <c r="B92" s="26">
        <v>23.52941176470588</v>
      </c>
      <c r="C92" s="27">
        <v>0.18</v>
      </c>
      <c r="D92" s="18">
        <v>66.666666666666686</v>
      </c>
      <c r="H92" s="26"/>
      <c r="I92" s="26"/>
      <c r="J92" s="26"/>
      <c r="K92" s="26"/>
      <c r="L92" s="26"/>
    </row>
    <row r="93" spans="1:15" x14ac:dyDescent="0.25">
      <c r="A93" s="28">
        <v>0.14000000000000001</v>
      </c>
      <c r="B93" s="26">
        <v>18.18181818181818</v>
      </c>
      <c r="C93" s="23">
        <v>0.19</v>
      </c>
      <c r="D93" s="18">
        <v>133.33333333333323</v>
      </c>
      <c r="H93" s="26"/>
      <c r="I93" s="26"/>
      <c r="J93" s="26"/>
      <c r="K93" s="26"/>
      <c r="L93" s="26"/>
    </row>
    <row r="94" spans="1:15" x14ac:dyDescent="0.25">
      <c r="A94" s="19" t="s">
        <v>121</v>
      </c>
      <c r="B94" s="19"/>
    </row>
    <row r="95" spans="1:15" x14ac:dyDescent="0.25">
      <c r="A95" s="29" t="s">
        <v>60</v>
      </c>
      <c r="B95" s="23">
        <v>0.12</v>
      </c>
      <c r="I95" s="12" t="s">
        <v>145</v>
      </c>
    </row>
    <row r="96" spans="1:15" x14ac:dyDescent="0.25">
      <c r="A96" s="29" t="s">
        <v>61</v>
      </c>
      <c r="C96" s="18">
        <f>B80</f>
        <v>33.333333333333343</v>
      </c>
      <c r="D96" s="31">
        <v>0.02</v>
      </c>
      <c r="E96" s="32">
        <v>0.04</v>
      </c>
      <c r="F96" s="31">
        <v>0.06</v>
      </c>
      <c r="G96" s="32">
        <v>0.08</v>
      </c>
      <c r="H96" s="31">
        <v>0.1</v>
      </c>
      <c r="I96" s="32">
        <v>0.12</v>
      </c>
      <c r="J96" s="31">
        <v>0.14000000000000001</v>
      </c>
      <c r="K96" s="32">
        <v>0.16</v>
      </c>
      <c r="L96" s="31">
        <v>0.18</v>
      </c>
      <c r="M96" s="32">
        <v>0.2</v>
      </c>
      <c r="O96" s="12" t="s">
        <v>149</v>
      </c>
    </row>
    <row r="97" spans="1:19" x14ac:dyDescent="0.25">
      <c r="A97" s="12" t="s">
        <v>58</v>
      </c>
      <c r="B97" s="23">
        <v>0.1</v>
      </c>
      <c r="C97" s="32">
        <f>1-B97</f>
        <v>0.9</v>
      </c>
      <c r="D97" s="30">
        <f t="dataTable" ref="D97:M106" dt2D="1" dtr="1" r1="B79" r2="B76" ca="1"/>
        <v>1.9607843137254899</v>
      </c>
      <c r="E97" s="30">
        <v>2.3809523809523805</v>
      </c>
      <c r="F97" s="30">
        <v>3.0303030303030294</v>
      </c>
      <c r="G97" s="30">
        <v>4.166666666666667</v>
      </c>
      <c r="H97" s="30">
        <v>6.6666666666666687</v>
      </c>
      <c r="I97" s="30">
        <v>16.666666666666668</v>
      </c>
      <c r="J97" s="30">
        <v>-33.333333333333144</v>
      </c>
      <c r="K97" s="30">
        <v>-8.3333333333333233</v>
      </c>
      <c r="L97" s="30">
        <v>-4.7619047619047601</v>
      </c>
      <c r="M97" s="30">
        <v>-3.3333333333333313</v>
      </c>
      <c r="O97" s="12" t="s">
        <v>51</v>
      </c>
    </row>
    <row r="98" spans="1:19" x14ac:dyDescent="0.25">
      <c r="A98" s="33" t="s">
        <v>146</v>
      </c>
      <c r="B98" s="23">
        <v>0.2</v>
      </c>
      <c r="C98" s="32">
        <f t="shared" ref="C98:C106" si="0">1-B98</f>
        <v>0.8</v>
      </c>
      <c r="D98" s="30">
        <v>3.8461538461538454</v>
      </c>
      <c r="E98" s="30">
        <v>4.545454545454545</v>
      </c>
      <c r="F98" s="30">
        <v>5.5555555555555545</v>
      </c>
      <c r="G98" s="30">
        <v>7.1428571428571423</v>
      </c>
      <c r="H98" s="30">
        <v>10.000000000000004</v>
      </c>
      <c r="I98" s="30">
        <v>16.666666666666668</v>
      </c>
      <c r="J98" s="30">
        <v>50.000000000000121</v>
      </c>
      <c r="K98" s="30">
        <v>-49.999999999999943</v>
      </c>
      <c r="L98" s="30">
        <v>-16.666666666666668</v>
      </c>
      <c r="M98" s="30">
        <v>-9.9999999999999893</v>
      </c>
    </row>
    <row r="99" spans="1:19" x14ac:dyDescent="0.25">
      <c r="A99" s="33" t="s">
        <v>147</v>
      </c>
      <c r="B99" s="23">
        <v>0.3</v>
      </c>
      <c r="C99" s="32">
        <f t="shared" si="0"/>
        <v>0.7</v>
      </c>
      <c r="D99" s="30">
        <v>5.6603773584905674</v>
      </c>
      <c r="E99" s="30">
        <v>6.521739130434784</v>
      </c>
      <c r="F99" s="30">
        <v>7.6923076923076934</v>
      </c>
      <c r="G99" s="30">
        <v>9.3750000000000018</v>
      </c>
      <c r="H99" s="30">
        <v>12.000000000000002</v>
      </c>
      <c r="I99" s="30">
        <v>16.666666666666668</v>
      </c>
      <c r="J99" s="30">
        <v>27.272727272727288</v>
      </c>
      <c r="K99" s="30">
        <v>74.999999999999943</v>
      </c>
      <c r="L99" s="30">
        <v>-99.999999999999929</v>
      </c>
      <c r="M99" s="30">
        <v>-30.000000000000018</v>
      </c>
      <c r="O99" s="34" t="s">
        <v>137</v>
      </c>
      <c r="P99" s="34" t="s">
        <v>141</v>
      </c>
      <c r="Q99" s="34"/>
      <c r="R99" s="34"/>
      <c r="S99" s="34"/>
    </row>
    <row r="100" spans="1:19" x14ac:dyDescent="0.25">
      <c r="B100" s="23">
        <v>0.4</v>
      </c>
      <c r="C100" s="32">
        <f t="shared" si="0"/>
        <v>0.6</v>
      </c>
      <c r="D100" s="30">
        <v>7.4074074074074083</v>
      </c>
      <c r="E100" s="30">
        <v>8.3333333333333339</v>
      </c>
      <c r="F100" s="30">
        <v>9.5238095238095255</v>
      </c>
      <c r="G100" s="30">
        <v>11.111111111111112</v>
      </c>
      <c r="H100" s="30">
        <v>13.333333333333334</v>
      </c>
      <c r="I100" s="30">
        <v>16.666666666666668</v>
      </c>
      <c r="J100" s="30">
        <v>22.222222222222229</v>
      </c>
      <c r="K100" s="30">
        <v>33.333333333333343</v>
      </c>
      <c r="L100" s="30">
        <v>66.666666666666686</v>
      </c>
      <c r="M100" s="30" t="e">
        <v>#DIV/0!</v>
      </c>
      <c r="O100" s="34" t="s">
        <v>138</v>
      </c>
      <c r="P100" s="34" t="s">
        <v>140</v>
      </c>
      <c r="Q100" s="34"/>
      <c r="R100" s="34"/>
      <c r="S100" s="34"/>
    </row>
    <row r="101" spans="1:19" x14ac:dyDescent="0.25">
      <c r="B101" s="23">
        <v>0.5</v>
      </c>
      <c r="C101" s="32">
        <f t="shared" si="0"/>
        <v>0.5</v>
      </c>
      <c r="D101" s="30">
        <v>9.0909090909090917</v>
      </c>
      <c r="E101" s="30">
        <v>10</v>
      </c>
      <c r="F101" s="30">
        <v>11.111111111111111</v>
      </c>
      <c r="G101" s="30">
        <v>12.500000000000002</v>
      </c>
      <c r="H101" s="30">
        <v>14.285714285714286</v>
      </c>
      <c r="I101" s="30">
        <v>16.666666666666668</v>
      </c>
      <c r="J101" s="30">
        <v>20.000000000000004</v>
      </c>
      <c r="K101" s="30">
        <v>25.000000000000004</v>
      </c>
      <c r="L101" s="30">
        <v>33.333333333333336</v>
      </c>
      <c r="M101" s="30">
        <v>50.000000000000028</v>
      </c>
      <c r="O101" s="34" t="s">
        <v>139</v>
      </c>
      <c r="P101" s="34" t="s">
        <v>142</v>
      </c>
      <c r="Q101" s="34"/>
      <c r="R101" s="34"/>
      <c r="S101" s="34"/>
    </row>
    <row r="102" spans="1:19" x14ac:dyDescent="0.25">
      <c r="B102" s="23">
        <v>0.6</v>
      </c>
      <c r="C102" s="32">
        <f t="shared" si="0"/>
        <v>0.4</v>
      </c>
      <c r="D102" s="30">
        <v>10.714285714285715</v>
      </c>
      <c r="E102" s="30">
        <v>11.538461538461538</v>
      </c>
      <c r="F102" s="30">
        <v>12.5</v>
      </c>
      <c r="G102" s="30">
        <v>13.636363636363637</v>
      </c>
      <c r="H102" s="30">
        <v>15.000000000000002</v>
      </c>
      <c r="I102" s="30">
        <v>16.666666666666668</v>
      </c>
      <c r="J102" s="30">
        <v>18.750000000000004</v>
      </c>
      <c r="K102" s="30">
        <v>21.428571428571431</v>
      </c>
      <c r="L102" s="30">
        <v>25</v>
      </c>
      <c r="M102" s="30">
        <v>30.000000000000014</v>
      </c>
    </row>
    <row r="103" spans="1:19" x14ac:dyDescent="0.25">
      <c r="B103" s="23">
        <v>0.7</v>
      </c>
      <c r="C103" s="32">
        <f t="shared" si="0"/>
        <v>0.30000000000000004</v>
      </c>
      <c r="D103" s="30">
        <v>12.280701754385966</v>
      </c>
      <c r="E103" s="30">
        <v>12.962962962962962</v>
      </c>
      <c r="F103" s="30">
        <v>13.725490196078431</v>
      </c>
      <c r="G103" s="30">
        <v>14.583333333333334</v>
      </c>
      <c r="H103" s="30">
        <v>15.555555555555555</v>
      </c>
      <c r="I103" s="30">
        <v>16.666666666666668</v>
      </c>
      <c r="J103" s="30">
        <v>17.948717948717952</v>
      </c>
      <c r="K103" s="30">
        <v>19.44444444444445</v>
      </c>
      <c r="L103" s="30">
        <v>21.212121212121215</v>
      </c>
      <c r="M103" s="30">
        <v>23.333333333333339</v>
      </c>
    </row>
    <row r="104" spans="1:19" x14ac:dyDescent="0.25">
      <c r="B104" s="23">
        <v>0.8</v>
      </c>
      <c r="C104" s="32">
        <f t="shared" si="0"/>
        <v>0.19999999999999996</v>
      </c>
      <c r="D104" s="30">
        <v>13.793103448275863</v>
      </c>
      <c r="E104" s="30">
        <v>14.285714285714286</v>
      </c>
      <c r="F104" s="30">
        <v>14.814814814814817</v>
      </c>
      <c r="G104" s="30">
        <v>15.384615384615387</v>
      </c>
      <c r="H104" s="30">
        <v>16</v>
      </c>
      <c r="I104" s="30">
        <v>16.666666666666668</v>
      </c>
      <c r="J104" s="30">
        <v>17.39130434782609</v>
      </c>
      <c r="K104" s="30">
        <v>18.181818181818183</v>
      </c>
      <c r="L104" s="30">
        <v>19.047619047619047</v>
      </c>
      <c r="M104" s="30">
        <v>20</v>
      </c>
    </row>
    <row r="105" spans="1:19" x14ac:dyDescent="0.25">
      <c r="B105" s="23">
        <v>0.9</v>
      </c>
      <c r="C105" s="32">
        <f t="shared" si="0"/>
        <v>9.9999999999999978E-2</v>
      </c>
      <c r="D105" s="30">
        <v>15.254237288135595</v>
      </c>
      <c r="E105" s="30">
        <v>15.517241379310347</v>
      </c>
      <c r="F105" s="30">
        <v>15.789473684210527</v>
      </c>
      <c r="G105" s="30">
        <v>16.071428571428573</v>
      </c>
      <c r="H105" s="30">
        <v>16.363636363636363</v>
      </c>
      <c r="I105" s="30">
        <v>16.666666666666668</v>
      </c>
      <c r="J105" s="30">
        <v>16.981132075471699</v>
      </c>
      <c r="K105" s="30">
        <v>17.30769230769231</v>
      </c>
      <c r="L105" s="30">
        <v>17.647058823529409</v>
      </c>
      <c r="M105" s="30">
        <v>18</v>
      </c>
    </row>
    <row r="106" spans="1:19" x14ac:dyDescent="0.25">
      <c r="B106" s="23">
        <v>1</v>
      </c>
      <c r="C106" s="32">
        <f t="shared" si="0"/>
        <v>0</v>
      </c>
      <c r="D106" s="30">
        <v>16.666666666666668</v>
      </c>
      <c r="E106" s="30">
        <v>16.666666666666668</v>
      </c>
      <c r="F106" s="30">
        <v>16.666666666666668</v>
      </c>
      <c r="G106" s="30">
        <v>16.666666666666668</v>
      </c>
      <c r="H106" s="30">
        <v>16.666666666666668</v>
      </c>
      <c r="I106" s="30">
        <v>16.666666666666668</v>
      </c>
      <c r="J106" s="30">
        <v>16.666666666666668</v>
      </c>
      <c r="K106" s="30">
        <v>16.666666666666668</v>
      </c>
      <c r="L106" s="30">
        <v>16.666666666666668</v>
      </c>
      <c r="M106" s="30">
        <v>16.666666666666668</v>
      </c>
    </row>
    <row r="108" spans="1:19" x14ac:dyDescent="0.25">
      <c r="A108" s="12" t="s">
        <v>63</v>
      </c>
    </row>
    <row r="109" spans="1:19" x14ac:dyDescent="0.25">
      <c r="G109" s="25"/>
    </row>
    <row r="110" spans="1:19" x14ac:dyDescent="0.25">
      <c r="A110" s="12" t="s">
        <v>64</v>
      </c>
      <c r="E110" s="12" t="s">
        <v>67</v>
      </c>
      <c r="G110" s="25"/>
    </row>
    <row r="111" spans="1:19" x14ac:dyDescent="0.25">
      <c r="A111" s="12" t="s">
        <v>65</v>
      </c>
      <c r="C111" s="23">
        <v>0.4</v>
      </c>
      <c r="E111" s="12" t="s">
        <v>65</v>
      </c>
      <c r="G111" s="23">
        <v>0.4</v>
      </c>
    </row>
    <row r="112" spans="1:19" x14ac:dyDescent="0.25">
      <c r="A112" s="12" t="s">
        <v>66</v>
      </c>
      <c r="C112" s="23">
        <v>0.4</v>
      </c>
      <c r="E112" s="12" t="s">
        <v>66</v>
      </c>
      <c r="G112" s="23">
        <v>0.25</v>
      </c>
      <c r="H112" s="33" t="s">
        <v>148</v>
      </c>
    </row>
    <row r="113" spans="1:11" x14ac:dyDescent="0.25">
      <c r="C113" s="23"/>
      <c r="G113" s="23"/>
    </row>
    <row r="114" spans="1:11" x14ac:dyDescent="0.25">
      <c r="C114" s="12" t="s">
        <v>73</v>
      </c>
      <c r="D114" s="12" t="s">
        <v>74</v>
      </c>
      <c r="G114" s="12" t="s">
        <v>73</v>
      </c>
      <c r="H114" s="12" t="s">
        <v>74</v>
      </c>
    </row>
    <row r="115" spans="1:11" x14ac:dyDescent="0.25">
      <c r="A115" s="12" t="s">
        <v>1</v>
      </c>
      <c r="C115" s="12">
        <v>1000</v>
      </c>
      <c r="D115" s="12">
        <v>1000</v>
      </c>
      <c r="G115" s="12">
        <v>1000</v>
      </c>
      <c r="H115" s="12">
        <v>1000</v>
      </c>
    </row>
    <row r="116" spans="1:11" x14ac:dyDescent="0.25">
      <c r="A116" s="12" t="s">
        <v>68</v>
      </c>
      <c r="C116" s="12">
        <v>2</v>
      </c>
      <c r="D116" s="12">
        <v>2</v>
      </c>
      <c r="G116" s="12">
        <v>2</v>
      </c>
      <c r="H116" s="12">
        <v>2</v>
      </c>
    </row>
    <row r="117" spans="1:11" x14ac:dyDescent="0.25">
      <c r="A117" s="12" t="s">
        <v>69</v>
      </c>
      <c r="C117" s="12">
        <v>0.15</v>
      </c>
      <c r="D117" s="12">
        <v>0.1</v>
      </c>
      <c r="G117" s="12">
        <v>0.15</v>
      </c>
      <c r="H117" s="12">
        <v>0.1</v>
      </c>
    </row>
    <row r="118" spans="1:11" x14ac:dyDescent="0.25">
      <c r="A118" s="12" t="s">
        <v>70</v>
      </c>
      <c r="C118" s="12">
        <v>0.05</v>
      </c>
      <c r="D118" s="12">
        <v>0.1</v>
      </c>
      <c r="G118" s="12">
        <v>0.05</v>
      </c>
      <c r="H118" s="12">
        <v>0.1</v>
      </c>
    </row>
    <row r="119" spans="1:11" x14ac:dyDescent="0.25">
      <c r="A119" s="12" t="s">
        <v>71</v>
      </c>
      <c r="C119" s="12">
        <f>C117*C115*(1-C111)</f>
        <v>90</v>
      </c>
      <c r="D119" s="12">
        <f>D117*D115*(1-C111)</f>
        <v>60</v>
      </c>
      <c r="G119" s="12">
        <f>G117*G115*(1-G111)</f>
        <v>90</v>
      </c>
      <c r="H119" s="12">
        <f>H117*H115*(1-G111)</f>
        <v>60</v>
      </c>
    </row>
    <row r="120" spans="1:11" x14ac:dyDescent="0.25">
      <c r="A120" s="12" t="s">
        <v>72</v>
      </c>
      <c r="C120" s="12">
        <f>C118*C115*(1-C112)</f>
        <v>30</v>
      </c>
      <c r="D120" s="12">
        <f>D118*D115*(1-C112)</f>
        <v>60</v>
      </c>
      <c r="G120" s="12">
        <f>G118*G115*(1-G112)</f>
        <v>37.5</v>
      </c>
      <c r="H120" s="12">
        <f>H118*H115*(1-G112)</f>
        <v>75</v>
      </c>
      <c r="K120" s="12" t="s">
        <v>153</v>
      </c>
    </row>
    <row r="121" spans="1:11" x14ac:dyDescent="0.25">
      <c r="A121" s="12" t="s">
        <v>75</v>
      </c>
      <c r="C121" s="12">
        <f>C119+C120</f>
        <v>120</v>
      </c>
      <c r="D121" s="12">
        <f>D119+D120</f>
        <v>120</v>
      </c>
      <c r="G121" s="12">
        <f>G119+G120</f>
        <v>127.5</v>
      </c>
      <c r="H121" s="12">
        <f>H119+H120</f>
        <v>135</v>
      </c>
    </row>
    <row r="122" spans="1:11" x14ac:dyDescent="0.25">
      <c r="A122" s="19" t="s">
        <v>122</v>
      </c>
      <c r="B122" s="19"/>
      <c r="C122" s="19"/>
      <c r="D122" s="19"/>
      <c r="E122" s="20"/>
      <c r="F122" s="20"/>
      <c r="G122" s="20"/>
    </row>
    <row r="123" spans="1:11" x14ac:dyDescent="0.25">
      <c r="A123" s="12" t="s">
        <v>80</v>
      </c>
      <c r="C123" s="23">
        <v>0.4</v>
      </c>
    </row>
    <row r="124" spans="1:11" x14ac:dyDescent="0.25">
      <c r="C124" s="23"/>
    </row>
    <row r="125" spans="1:11" x14ac:dyDescent="0.25">
      <c r="C125" s="23" t="s">
        <v>150</v>
      </c>
      <c r="D125" s="12" t="s">
        <v>151</v>
      </c>
      <c r="E125" s="12" t="s">
        <v>152</v>
      </c>
    </row>
    <row r="126" spans="1:11" hidden="1" x14ac:dyDescent="0.25">
      <c r="C126" s="23"/>
    </row>
    <row r="127" spans="1:11" x14ac:dyDescent="0.25">
      <c r="D127" s="12">
        <f>G121</f>
        <v>127.5</v>
      </c>
      <c r="E127" s="12">
        <f>H121</f>
        <v>135</v>
      </c>
    </row>
    <row r="128" spans="1:11" x14ac:dyDescent="0.25">
      <c r="A128" s="12" t="s">
        <v>81</v>
      </c>
      <c r="C128" s="23">
        <v>0.1</v>
      </c>
      <c r="D128" s="12">
        <f t="dataTable" ref="D128:E137" dt2D="0" dtr="0" r1="G112"/>
        <v>135</v>
      </c>
      <c r="E128" s="12">
        <v>150</v>
      </c>
      <c r="F128" s="23"/>
    </row>
    <row r="129" spans="1:6" x14ac:dyDescent="0.25">
      <c r="C129" s="23">
        <v>0.2</v>
      </c>
      <c r="D129" s="12">
        <v>130</v>
      </c>
      <c r="E129" s="12">
        <v>140</v>
      </c>
      <c r="F129" s="23"/>
    </row>
    <row r="130" spans="1:6" x14ac:dyDescent="0.25">
      <c r="C130" s="23">
        <v>0.3</v>
      </c>
      <c r="D130" s="12">
        <v>125</v>
      </c>
      <c r="E130" s="12">
        <v>130</v>
      </c>
      <c r="F130" s="23"/>
    </row>
    <row r="131" spans="1:6" x14ac:dyDescent="0.25">
      <c r="C131" s="23">
        <v>0.4</v>
      </c>
      <c r="D131" s="12">
        <v>120</v>
      </c>
      <c r="E131" s="12">
        <v>120</v>
      </c>
      <c r="F131" s="23"/>
    </row>
    <row r="132" spans="1:6" x14ac:dyDescent="0.25">
      <c r="C132" s="23">
        <v>0.5</v>
      </c>
      <c r="D132" s="12">
        <v>115</v>
      </c>
      <c r="E132" s="12">
        <v>110</v>
      </c>
      <c r="F132" s="23"/>
    </row>
    <row r="133" spans="1:6" x14ac:dyDescent="0.25">
      <c r="C133" s="23">
        <v>0.6</v>
      </c>
      <c r="D133" s="12">
        <v>110</v>
      </c>
      <c r="E133" s="12">
        <v>100</v>
      </c>
      <c r="F133" s="23"/>
    </row>
    <row r="134" spans="1:6" x14ac:dyDescent="0.25">
      <c r="C134" s="23">
        <v>0.7</v>
      </c>
      <c r="D134" s="12">
        <v>105</v>
      </c>
      <c r="E134" s="12">
        <v>90</v>
      </c>
      <c r="F134" s="23"/>
    </row>
    <row r="135" spans="1:6" x14ac:dyDescent="0.25">
      <c r="C135" s="23">
        <v>0.8</v>
      </c>
      <c r="D135" s="12">
        <v>100</v>
      </c>
      <c r="E135" s="12">
        <v>80</v>
      </c>
      <c r="F135" s="23"/>
    </row>
    <row r="136" spans="1:6" x14ac:dyDescent="0.25">
      <c r="C136" s="23">
        <v>0.9</v>
      </c>
      <c r="D136" s="12">
        <v>95</v>
      </c>
      <c r="E136" s="12">
        <v>70</v>
      </c>
      <c r="F136" s="23"/>
    </row>
    <row r="137" spans="1:6" x14ac:dyDescent="0.25">
      <c r="C137" s="23">
        <v>1</v>
      </c>
      <c r="D137" s="12">
        <v>90</v>
      </c>
      <c r="E137" s="12">
        <v>60</v>
      </c>
      <c r="F137" s="23"/>
    </row>
    <row r="138" spans="1:6" x14ac:dyDescent="0.25">
      <c r="C138" s="23"/>
    </row>
    <row r="139" spans="1:6" x14ac:dyDescent="0.25">
      <c r="A139" s="12" t="s">
        <v>76</v>
      </c>
      <c r="C139" s="23"/>
    </row>
    <row r="140" spans="1:6" x14ac:dyDescent="0.25">
      <c r="A140" s="12" t="s">
        <v>77</v>
      </c>
    </row>
    <row r="141" spans="1:6" x14ac:dyDescent="0.25">
      <c r="A141" s="12" t="s">
        <v>78</v>
      </c>
    </row>
    <row r="142" spans="1:6" x14ac:dyDescent="0.25">
      <c r="A142" s="12" t="s">
        <v>79</v>
      </c>
    </row>
  </sheetData>
  <mergeCells count="1">
    <mergeCell ref="L49:Q49"/>
  </mergeCells>
  <phoneticPr fontId="2" type="noConversion"/>
  <pageMargins left="0.75" right="0.75" top="1" bottom="1" header="0.5" footer="0.5"/>
  <pageSetup paperSize="9" orientation="portrait" horizontalDpi="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7</xdr:row>
                <xdr:rowOff>137160</xdr:rowOff>
              </from>
              <to>
                <xdr:col>3</xdr:col>
                <xdr:colOff>411480</xdr:colOff>
                <xdr:row>9</xdr:row>
                <xdr:rowOff>76200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0</xdr:col>
                <xdr:colOff>259080</xdr:colOff>
                <xdr:row>20</xdr:row>
                <xdr:rowOff>30480</xdr:rowOff>
              </from>
              <to>
                <xdr:col>2</xdr:col>
                <xdr:colOff>76200</xdr:colOff>
                <xdr:row>21</xdr:row>
                <xdr:rowOff>198120</xdr:rowOff>
              </to>
            </anchor>
          </objectPr>
        </oleObject>
      </mc:Choice>
      <mc:Fallback>
        <oleObject progId="Equation.3" shapeId="2050" r:id="rId6"/>
      </mc:Fallback>
    </mc:AlternateContent>
    <mc:AlternateContent xmlns:mc="http://schemas.openxmlformats.org/markup-compatibility/2006">
      <mc:Choice Requires="x14">
        <oleObject progId="Equation.3" shapeId="2051" r:id="rId8">
          <objectPr defaultSize="0" autoPict="0" r:id="rId9">
            <anchor moveWithCells="1" sizeWithCells="1">
              <from>
                <xdr:col>0</xdr:col>
                <xdr:colOff>175260</xdr:colOff>
                <xdr:row>62</xdr:row>
                <xdr:rowOff>106680</xdr:rowOff>
              </from>
              <to>
                <xdr:col>2</xdr:col>
                <xdr:colOff>541020</xdr:colOff>
                <xdr:row>64</xdr:row>
                <xdr:rowOff>22860</xdr:rowOff>
              </to>
            </anchor>
          </objectPr>
        </oleObject>
      </mc:Choice>
      <mc:Fallback>
        <oleObject progId="Equation.3" shapeId="2051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82"/>
  <sheetViews>
    <sheetView tabSelected="1" topLeftCell="A60" workbookViewId="0">
      <selection activeCell="D73" sqref="D73"/>
    </sheetView>
  </sheetViews>
  <sheetFormatPr defaultColWidth="9" defaultRowHeight="13.2" x14ac:dyDescent="0.25"/>
  <cols>
    <col min="1" max="1" width="9" style="1"/>
    <col min="2" max="8" width="9.109375" style="1" bestFit="1" customWidth="1"/>
    <col min="9" max="9" width="10.44140625" style="1" bestFit="1" customWidth="1"/>
    <col min="10" max="16384" width="9" style="1"/>
  </cols>
  <sheetData>
    <row r="1" spans="1:11" x14ac:dyDescent="0.25">
      <c r="A1" s="1" t="s">
        <v>82</v>
      </c>
    </row>
    <row r="2" spans="1:11" x14ac:dyDescent="0.25">
      <c r="A2" s="1" t="s">
        <v>83</v>
      </c>
    </row>
    <row r="3" spans="1:11" x14ac:dyDescent="0.25">
      <c r="A3" s="1" t="s">
        <v>91</v>
      </c>
    </row>
    <row r="4" spans="1:11" x14ac:dyDescent="0.25">
      <c r="A4" s="1" t="s">
        <v>92</v>
      </c>
    </row>
    <row r="6" spans="1:11" x14ac:dyDescent="0.25">
      <c r="A6" s="1" t="s">
        <v>93</v>
      </c>
    </row>
    <row r="7" spans="1:11" x14ac:dyDescent="0.25">
      <c r="A7" s="1" t="s">
        <v>94</v>
      </c>
    </row>
    <row r="9" spans="1:11" x14ac:dyDescent="0.25">
      <c r="A9" s="1" t="s">
        <v>95</v>
      </c>
    </row>
    <row r="10" spans="1:11" x14ac:dyDescent="0.25">
      <c r="A10" s="1" t="s">
        <v>96</v>
      </c>
    </row>
    <row r="12" spans="1:11" x14ac:dyDescent="0.25">
      <c r="A12" s="1" t="s">
        <v>97</v>
      </c>
    </row>
    <row r="13" spans="1:11" x14ac:dyDescent="0.25">
      <c r="B13" s="1" t="s">
        <v>98</v>
      </c>
      <c r="C13" s="1" t="s">
        <v>9</v>
      </c>
      <c r="D13" s="1" t="s">
        <v>8</v>
      </c>
      <c r="E13" s="1" t="s">
        <v>154</v>
      </c>
      <c r="G13" s="6" t="s">
        <v>123</v>
      </c>
      <c r="H13" s="6"/>
      <c r="I13" s="6"/>
      <c r="J13" s="6"/>
      <c r="K13" s="6"/>
    </row>
    <row r="14" spans="1:11" x14ac:dyDescent="0.25">
      <c r="B14" s="1">
        <v>1986</v>
      </c>
      <c r="C14" s="1">
        <v>0.95</v>
      </c>
      <c r="D14" s="1">
        <v>2.1</v>
      </c>
    </row>
    <row r="15" spans="1:11" x14ac:dyDescent="0.25">
      <c r="B15" s="1">
        <v>1987</v>
      </c>
      <c r="C15" s="1">
        <v>1.24</v>
      </c>
      <c r="D15" s="1">
        <v>2.64</v>
      </c>
      <c r="E15" s="9">
        <f>C14</f>
        <v>0.95</v>
      </c>
    </row>
    <row r="16" spans="1:11" x14ac:dyDescent="0.25">
      <c r="B16" s="1">
        <v>1988</v>
      </c>
      <c r="C16" s="1">
        <v>1.45</v>
      </c>
      <c r="D16" s="1">
        <v>3.47</v>
      </c>
      <c r="E16" s="9">
        <f t="shared" ref="E16:E25" si="0">C15</f>
        <v>1.24</v>
      </c>
    </row>
    <row r="17" spans="1:10" x14ac:dyDescent="0.25">
      <c r="B17" s="1">
        <v>1989</v>
      </c>
      <c r="C17" s="1">
        <v>1.95</v>
      </c>
      <c r="D17" s="1">
        <v>3.62</v>
      </c>
      <c r="E17" s="9">
        <f t="shared" si="0"/>
        <v>1.45</v>
      </c>
    </row>
    <row r="18" spans="1:10" x14ac:dyDescent="0.25">
      <c r="B18" s="1">
        <v>1990</v>
      </c>
      <c r="C18" s="1">
        <v>2.2000000000000002</v>
      </c>
      <c r="D18" s="1">
        <v>3.79</v>
      </c>
      <c r="E18" s="9">
        <f t="shared" si="0"/>
        <v>1.95</v>
      </c>
    </row>
    <row r="19" spans="1:10" x14ac:dyDescent="0.25">
      <c r="B19" s="1">
        <v>1991</v>
      </c>
      <c r="C19" s="1">
        <v>2.63</v>
      </c>
      <c r="D19" s="1">
        <v>4.6100000000000003</v>
      </c>
      <c r="E19" s="9">
        <f t="shared" si="0"/>
        <v>2.2000000000000002</v>
      </c>
    </row>
    <row r="20" spans="1:10" x14ac:dyDescent="0.25">
      <c r="B20" s="1">
        <v>1992</v>
      </c>
      <c r="C20" s="1">
        <v>3.02</v>
      </c>
      <c r="D20" s="1">
        <v>5.07</v>
      </c>
      <c r="E20" s="9">
        <f t="shared" si="0"/>
        <v>2.63</v>
      </c>
    </row>
    <row r="21" spans="1:10" x14ac:dyDescent="0.25">
      <c r="B21" s="1">
        <v>1993</v>
      </c>
      <c r="C21" s="1">
        <v>3.12</v>
      </c>
      <c r="D21" s="1">
        <v>6.37</v>
      </c>
      <c r="E21" s="9">
        <f t="shared" si="0"/>
        <v>3.02</v>
      </c>
    </row>
    <row r="22" spans="1:10" x14ac:dyDescent="0.25">
      <c r="B22" s="1">
        <v>1994</v>
      </c>
      <c r="C22" s="1">
        <v>3.4</v>
      </c>
      <c r="D22" s="1">
        <v>6.84</v>
      </c>
      <c r="E22" s="9">
        <f t="shared" si="0"/>
        <v>3.12</v>
      </c>
    </row>
    <row r="23" spans="1:10" x14ac:dyDescent="0.25">
      <c r="B23" s="1">
        <v>1995</v>
      </c>
      <c r="C23" s="1">
        <v>3.9</v>
      </c>
      <c r="D23" s="1">
        <v>8.35</v>
      </c>
      <c r="E23" s="9">
        <f t="shared" si="0"/>
        <v>3.4</v>
      </c>
    </row>
    <row r="24" spans="1:10" x14ac:dyDescent="0.25">
      <c r="B24" s="1">
        <v>1996</v>
      </c>
      <c r="C24" s="1">
        <v>4.5</v>
      </c>
      <c r="D24" s="1">
        <v>10.15</v>
      </c>
      <c r="E24" s="9">
        <f t="shared" si="0"/>
        <v>3.9</v>
      </c>
    </row>
    <row r="25" spans="1:10" x14ac:dyDescent="0.25">
      <c r="B25" s="1">
        <v>1997</v>
      </c>
      <c r="C25" s="1">
        <v>5.0999999999999996</v>
      </c>
      <c r="D25" s="1">
        <v>12.07</v>
      </c>
      <c r="E25" s="9">
        <f t="shared" si="0"/>
        <v>4.5</v>
      </c>
    </row>
    <row r="26" spans="1:10" x14ac:dyDescent="0.25">
      <c r="A26" s="1" t="s">
        <v>84</v>
      </c>
    </row>
    <row r="27" spans="1:10" x14ac:dyDescent="0.25">
      <c r="B27" s="1" t="s">
        <v>99</v>
      </c>
    </row>
    <row r="29" spans="1:10" x14ac:dyDescent="0.25">
      <c r="A29" s="8" t="s">
        <v>124</v>
      </c>
      <c r="B29" s="8"/>
      <c r="C29" s="8"/>
      <c r="D29" s="8"/>
      <c r="E29" s="35"/>
      <c r="J29" s="35"/>
    </row>
    <row r="30" spans="1:10" ht="15.6" x14ac:dyDescent="0.3">
      <c r="A30" s="10"/>
      <c r="B30" s="10"/>
      <c r="C30" s="10"/>
      <c r="D30" s="10"/>
      <c r="E30" s="10"/>
      <c r="F30" s="1" t="s">
        <v>85</v>
      </c>
      <c r="H30" s="1" t="s">
        <v>87</v>
      </c>
      <c r="J30" s="35"/>
    </row>
    <row r="31" spans="1:10" ht="15.6" x14ac:dyDescent="0.3">
      <c r="A31" s="10"/>
      <c r="B31" s="10"/>
      <c r="C31" s="10"/>
      <c r="D31" s="10"/>
      <c r="E31" s="10"/>
      <c r="F31" s="1" t="s">
        <v>86</v>
      </c>
      <c r="J31" s="35"/>
    </row>
    <row r="32" spans="1:10" ht="15.6" x14ac:dyDescent="0.3">
      <c r="A32" s="10" t="s">
        <v>155</v>
      </c>
      <c r="B32" s="10"/>
      <c r="C32" s="10"/>
      <c r="D32" s="10"/>
      <c r="E32" s="10"/>
      <c r="F32" s="35"/>
      <c r="G32" s="35"/>
      <c r="H32" s="35"/>
      <c r="I32" s="35"/>
      <c r="J32" s="35"/>
    </row>
    <row r="33" spans="1:10" ht="16.2" thickBot="1" x14ac:dyDescent="0.35">
      <c r="A33" s="10"/>
      <c r="B33" s="10"/>
      <c r="C33" s="10"/>
      <c r="D33" s="10"/>
      <c r="E33" s="10"/>
      <c r="F33" s="10"/>
      <c r="G33" s="10"/>
      <c r="H33" s="10"/>
      <c r="I33" s="10"/>
      <c r="J33" s="35"/>
    </row>
    <row r="34" spans="1:10" ht="15.6" x14ac:dyDescent="0.3">
      <c r="A34" s="37" t="s">
        <v>156</v>
      </c>
      <c r="B34" s="37"/>
      <c r="C34" s="10"/>
      <c r="D34" s="10"/>
      <c r="E34" s="10"/>
      <c r="F34" s="10"/>
      <c r="G34" s="10"/>
      <c r="H34" s="10"/>
      <c r="I34" s="10"/>
      <c r="J34" s="35"/>
    </row>
    <row r="35" spans="1:10" ht="15.6" x14ac:dyDescent="0.3">
      <c r="A35" s="36" t="s">
        <v>157</v>
      </c>
      <c r="B35" s="36">
        <v>0.99513914737348697</v>
      </c>
      <c r="C35" s="10"/>
      <c r="D35" s="10"/>
      <c r="E35" s="10"/>
      <c r="F35" s="36" t="s">
        <v>181</v>
      </c>
      <c r="G35" s="36">
        <v>0.24230942467618277</v>
      </c>
      <c r="H35" s="10"/>
      <c r="I35" s="10"/>
      <c r="J35" s="35"/>
    </row>
    <row r="36" spans="1:10" ht="15.6" x14ac:dyDescent="0.3">
      <c r="A36" s="36" t="s">
        <v>158</v>
      </c>
      <c r="B36" s="36">
        <v>0.99030192263523054</v>
      </c>
      <c r="C36" s="10"/>
      <c r="D36" s="10"/>
      <c r="E36" s="10"/>
      <c r="F36" s="36" t="s">
        <v>182</v>
      </c>
      <c r="G36" s="36">
        <v>9.6131635826186779E-2</v>
      </c>
      <c r="H36" s="10"/>
      <c r="I36" s="10"/>
      <c r="J36" s="35"/>
    </row>
    <row r="37" spans="1:10" ht="15.6" x14ac:dyDescent="0.3">
      <c r="A37" s="36" t="s">
        <v>159</v>
      </c>
      <c r="B37" s="36">
        <v>0.98787740329403828</v>
      </c>
      <c r="C37" s="10"/>
      <c r="D37" s="10"/>
      <c r="E37" s="10"/>
      <c r="F37" s="36" t="s">
        <v>183</v>
      </c>
      <c r="G37" s="36">
        <v>0.8253067475643161</v>
      </c>
      <c r="H37" s="10"/>
      <c r="I37" s="10"/>
      <c r="J37" s="35"/>
    </row>
    <row r="38" spans="1:10" ht="15.6" x14ac:dyDescent="0.3">
      <c r="A38" s="36" t="s">
        <v>160</v>
      </c>
      <c r="B38" s="36">
        <v>0.13485878779854069</v>
      </c>
      <c r="C38" s="10"/>
      <c r="D38" s="10"/>
      <c r="E38" s="10"/>
      <c r="F38" s="10" t="s">
        <v>184</v>
      </c>
      <c r="G38" s="10">
        <f>1-G37</f>
        <v>0.1746932524356839</v>
      </c>
      <c r="H38" s="10"/>
      <c r="I38" s="10"/>
      <c r="J38" s="35"/>
    </row>
    <row r="39" spans="1:10" ht="16.2" thickBot="1" x14ac:dyDescent="0.35">
      <c r="A39" s="38" t="s">
        <v>161</v>
      </c>
      <c r="B39" s="38">
        <v>11</v>
      </c>
      <c r="C39" s="10"/>
      <c r="D39" s="10"/>
      <c r="E39" s="10"/>
      <c r="F39" s="10" t="s">
        <v>185</v>
      </c>
      <c r="G39" s="10">
        <f>G36/G38</f>
        <v>0.55028820223940345</v>
      </c>
      <c r="H39" s="10"/>
      <c r="I39" s="10"/>
      <c r="J39" s="35"/>
    </row>
    <row r="40" spans="1:10" ht="15.6" x14ac:dyDescent="0.3">
      <c r="A40" s="10"/>
      <c r="B40" s="10"/>
      <c r="C40" s="10"/>
      <c r="D40" s="10"/>
      <c r="E40" s="10"/>
      <c r="F40" s="10"/>
      <c r="G40" s="10"/>
      <c r="H40" s="10"/>
      <c r="I40" s="10"/>
      <c r="J40" s="35"/>
    </row>
    <row r="41" spans="1:10" ht="16.2" thickBot="1" x14ac:dyDescent="0.35">
      <c r="A41" s="10" t="s">
        <v>162</v>
      </c>
      <c r="B41" s="10"/>
      <c r="C41" s="10"/>
      <c r="D41" s="10"/>
      <c r="E41" s="10"/>
      <c r="F41" s="10"/>
      <c r="G41" s="10"/>
      <c r="H41" s="10"/>
      <c r="I41" s="10"/>
      <c r="J41" s="35"/>
    </row>
    <row r="42" spans="1:10" ht="15.6" x14ac:dyDescent="0.3">
      <c r="A42" s="39"/>
      <c r="B42" s="39" t="s">
        <v>167</v>
      </c>
      <c r="C42" s="39" t="s">
        <v>168</v>
      </c>
      <c r="D42" s="39" t="s">
        <v>169</v>
      </c>
      <c r="E42" s="39" t="s">
        <v>170</v>
      </c>
      <c r="F42" s="39" t="s">
        <v>171</v>
      </c>
      <c r="G42" s="10"/>
      <c r="H42" s="10"/>
      <c r="I42" s="10"/>
      <c r="J42" s="35"/>
    </row>
    <row r="43" spans="1:10" ht="15.6" x14ac:dyDescent="0.3">
      <c r="A43" s="36" t="s">
        <v>163</v>
      </c>
      <c r="B43" s="36">
        <v>2</v>
      </c>
      <c r="C43" s="36">
        <v>14.85697758610079</v>
      </c>
      <c r="D43" s="36">
        <v>7.4284887930503949</v>
      </c>
      <c r="E43" s="36">
        <v>408.45288623195989</v>
      </c>
      <c r="F43" s="36">
        <v>8.8459112375061012E-9</v>
      </c>
      <c r="G43" s="10"/>
      <c r="H43" s="10"/>
      <c r="I43" s="10"/>
      <c r="J43" s="35"/>
    </row>
    <row r="44" spans="1:10" ht="15.6" x14ac:dyDescent="0.3">
      <c r="A44" s="36" t="s">
        <v>164</v>
      </c>
      <c r="B44" s="36">
        <v>8</v>
      </c>
      <c r="C44" s="36">
        <v>0.14549514117193463</v>
      </c>
      <c r="D44" s="36">
        <v>1.8186892646491828E-2</v>
      </c>
      <c r="E44" s="36"/>
      <c r="F44" s="36"/>
      <c r="G44" s="10"/>
      <c r="H44" s="10"/>
      <c r="I44" s="10"/>
      <c r="J44" s="40"/>
    </row>
    <row r="45" spans="1:10" ht="16.2" thickBot="1" x14ac:dyDescent="0.35">
      <c r="A45" s="38" t="s">
        <v>165</v>
      </c>
      <c r="B45" s="38">
        <v>10</v>
      </c>
      <c r="C45" s="38">
        <v>15.002472727272725</v>
      </c>
      <c r="D45" s="38"/>
      <c r="E45" s="38"/>
      <c r="F45" s="38"/>
      <c r="G45" s="10"/>
      <c r="H45" s="10"/>
      <c r="I45" s="10"/>
      <c r="J45" s="41"/>
    </row>
    <row r="46" spans="1:10" ht="16.2" thickBot="1" x14ac:dyDescent="0.35">
      <c r="A46" s="10"/>
      <c r="B46" s="10"/>
      <c r="C46" s="10"/>
      <c r="D46" s="10"/>
      <c r="E46" s="10"/>
      <c r="F46" s="10"/>
      <c r="G46" s="10"/>
      <c r="H46" s="10"/>
      <c r="I46" s="10"/>
      <c r="J46" s="41"/>
    </row>
    <row r="47" spans="1:10" ht="15.6" x14ac:dyDescent="0.3">
      <c r="A47" s="39"/>
      <c r="B47" s="39" t="s">
        <v>172</v>
      </c>
      <c r="C47" s="39" t="s">
        <v>160</v>
      </c>
      <c r="D47" s="39" t="s">
        <v>173</v>
      </c>
      <c r="E47" s="39" t="s">
        <v>174</v>
      </c>
      <c r="F47" s="39" t="s">
        <v>175</v>
      </c>
      <c r="G47" s="39" t="s">
        <v>176</v>
      </c>
      <c r="H47" s="39" t="s">
        <v>177</v>
      </c>
      <c r="I47" s="39" t="s">
        <v>178</v>
      </c>
      <c r="J47" s="41"/>
    </row>
    <row r="48" spans="1:10" ht="15.6" x14ac:dyDescent="0.3">
      <c r="A48" s="36" t="s">
        <v>166</v>
      </c>
      <c r="B48" s="36">
        <v>0.24230942467618277</v>
      </c>
      <c r="C48" s="36">
        <v>0.10929485093216014</v>
      </c>
      <c r="D48" s="36">
        <v>2.217025071259628</v>
      </c>
      <c r="E48" s="36">
        <v>5.7448075714569974E-2</v>
      </c>
      <c r="F48" s="36">
        <v>-9.7249535299015477E-3</v>
      </c>
      <c r="G48" s="36">
        <v>0.49434380288226709</v>
      </c>
      <c r="H48" s="36">
        <v>-9.7249535299015477E-3</v>
      </c>
      <c r="I48" s="36">
        <v>0.49434380288226709</v>
      </c>
    </row>
    <row r="49" spans="1:9" ht="15.6" x14ac:dyDescent="0.3">
      <c r="A49" s="36" t="s">
        <v>179</v>
      </c>
      <c r="B49" s="36">
        <v>9.6131635826186779E-2</v>
      </c>
      <c r="C49" s="36">
        <v>5.4416041652063693E-2</v>
      </c>
      <c r="D49" s="36">
        <v>1.7666047163234089</v>
      </c>
      <c r="E49" s="36">
        <v>0.11528110571819533</v>
      </c>
      <c r="F49" s="36">
        <v>-2.9351981244914283E-2</v>
      </c>
      <c r="G49" s="36">
        <v>0.22161525289728784</v>
      </c>
      <c r="H49" s="36">
        <v>-2.9351981244914283E-2</v>
      </c>
      <c r="I49" s="36">
        <v>0.22161525289728784</v>
      </c>
    </row>
    <row r="50" spans="1:9" ht="16.2" thickBot="1" x14ac:dyDescent="0.35">
      <c r="A50" s="38" t="s">
        <v>180</v>
      </c>
      <c r="B50" s="38">
        <v>0.8253067475643161</v>
      </c>
      <c r="C50" s="38">
        <v>0.14505810519355056</v>
      </c>
      <c r="D50" s="38">
        <v>5.6894907489871871</v>
      </c>
      <c r="E50" s="38">
        <v>4.5992262702164856E-4</v>
      </c>
      <c r="F50" s="38">
        <v>0.49080215714310743</v>
      </c>
      <c r="G50" s="38">
        <v>1.1598113379855248</v>
      </c>
      <c r="H50" s="38">
        <v>0.49080215714310743</v>
      </c>
      <c r="I50" s="38">
        <v>1.1598113379855248</v>
      </c>
    </row>
    <row r="51" spans="1:9" ht="15.6" x14ac:dyDescent="0.3">
      <c r="A51" s="10"/>
      <c r="B51" s="10"/>
      <c r="C51" s="10"/>
      <c r="D51" s="10"/>
      <c r="E51" s="10"/>
      <c r="F51" s="10"/>
      <c r="G51" s="10"/>
      <c r="H51" s="10"/>
      <c r="I51" s="10"/>
    </row>
    <row r="52" spans="1:9" ht="15.6" x14ac:dyDescent="0.3">
      <c r="A52" s="10"/>
      <c r="B52" s="10"/>
      <c r="C52" s="10"/>
      <c r="D52" s="10"/>
      <c r="E52" s="10"/>
      <c r="F52" s="10"/>
      <c r="G52" s="10"/>
      <c r="H52" s="10"/>
      <c r="I52" s="10"/>
    </row>
    <row r="53" spans="1:9" ht="15.6" x14ac:dyDescent="0.3">
      <c r="A53" s="10"/>
      <c r="B53" s="10"/>
      <c r="C53" s="10"/>
      <c r="D53" s="10"/>
      <c r="E53" s="10"/>
      <c r="F53" s="10"/>
      <c r="G53" s="10"/>
      <c r="H53" s="10"/>
      <c r="I53" s="10"/>
    </row>
    <row r="54" spans="1:9" x14ac:dyDescent="0.25">
      <c r="A54" s="1" t="s">
        <v>88</v>
      </c>
    </row>
    <row r="55" spans="1:9" x14ac:dyDescent="0.25">
      <c r="A55" s="1" t="s">
        <v>89</v>
      </c>
      <c r="H55" s="1" t="s">
        <v>105</v>
      </c>
      <c r="I55" s="1" t="s">
        <v>90</v>
      </c>
    </row>
    <row r="56" spans="1:9" x14ac:dyDescent="0.25">
      <c r="A56" s="1" t="s">
        <v>100</v>
      </c>
      <c r="H56" s="42">
        <v>800000</v>
      </c>
    </row>
    <row r="57" spans="1:9" x14ac:dyDescent="0.25">
      <c r="A57" s="1" t="s">
        <v>101</v>
      </c>
      <c r="I57" s="43">
        <v>1000000</v>
      </c>
    </row>
    <row r="58" spans="1:9" x14ac:dyDescent="0.25">
      <c r="A58" s="1" t="s">
        <v>126</v>
      </c>
      <c r="I58" s="11">
        <v>0.6</v>
      </c>
    </row>
    <row r="59" spans="1:9" x14ac:dyDescent="0.25">
      <c r="A59" s="1" t="s">
        <v>102</v>
      </c>
    </row>
    <row r="60" spans="1:9" x14ac:dyDescent="0.25">
      <c r="A60" s="1" t="s">
        <v>128</v>
      </c>
      <c r="H60" s="1" t="s">
        <v>5</v>
      </c>
      <c r="I60" s="43">
        <f>I58*I57</f>
        <v>600000</v>
      </c>
    </row>
    <row r="61" spans="1:9" x14ac:dyDescent="0.25">
      <c r="A61" s="1" t="s">
        <v>103</v>
      </c>
      <c r="H61" s="1">
        <v>1600000</v>
      </c>
      <c r="I61" s="43">
        <f>H61-I60</f>
        <v>1000000</v>
      </c>
    </row>
    <row r="62" spans="1:9" x14ac:dyDescent="0.25">
      <c r="A62" s="1" t="s">
        <v>104</v>
      </c>
      <c r="I62" s="44">
        <f>I61/H56</f>
        <v>1.25</v>
      </c>
    </row>
    <row r="64" spans="1:9" x14ac:dyDescent="0.25">
      <c r="B64" s="1" t="s">
        <v>107</v>
      </c>
      <c r="D64" s="1">
        <v>800000</v>
      </c>
      <c r="F64" s="1" t="s">
        <v>186</v>
      </c>
      <c r="H64" s="1">
        <v>1600000</v>
      </c>
    </row>
    <row r="65" spans="1:9" x14ac:dyDescent="0.25">
      <c r="B65" s="1" t="s">
        <v>106</v>
      </c>
      <c r="D65" s="1">
        <v>1000000</v>
      </c>
      <c r="F65" s="1" t="s">
        <v>187</v>
      </c>
      <c r="H65" s="1">
        <v>1000000</v>
      </c>
    </row>
    <row r="66" spans="1:9" ht="13.8" x14ac:dyDescent="0.25">
      <c r="B66" s="1" t="s">
        <v>127</v>
      </c>
      <c r="D66" s="11">
        <v>0.6</v>
      </c>
      <c r="F66" s="1" t="s">
        <v>188</v>
      </c>
      <c r="H66" s="11">
        <v>0.6</v>
      </c>
      <c r="I66" s="2" t="s">
        <v>189</v>
      </c>
    </row>
    <row r="67" spans="1:9" x14ac:dyDescent="0.25">
      <c r="B67" s="1" t="s">
        <v>108</v>
      </c>
      <c r="D67" s="1">
        <f>D66*D65</f>
        <v>600000</v>
      </c>
      <c r="F67" s="1" t="s">
        <v>190</v>
      </c>
      <c r="H67" s="1">
        <f>H65*H66</f>
        <v>600000</v>
      </c>
    </row>
    <row r="68" spans="1:9" x14ac:dyDescent="0.25">
      <c r="B68" s="1" t="s">
        <v>109</v>
      </c>
      <c r="D68" s="1">
        <v>1600000</v>
      </c>
      <c r="F68" s="1" t="s">
        <v>191</v>
      </c>
      <c r="H68" s="1">
        <f>H64-H67</f>
        <v>1000000</v>
      </c>
    </row>
    <row r="69" spans="1:9" x14ac:dyDescent="0.25">
      <c r="B69" s="1" t="s">
        <v>110</v>
      </c>
      <c r="D69" s="1">
        <f>D68-D67</f>
        <v>1000000</v>
      </c>
      <c r="F69" s="1" t="s">
        <v>193</v>
      </c>
      <c r="H69" s="1">
        <v>800000</v>
      </c>
    </row>
    <row r="70" spans="1:9" x14ac:dyDescent="0.25">
      <c r="B70" s="1" t="s">
        <v>111</v>
      </c>
      <c r="D70" s="1">
        <f>D69/D64</f>
        <v>1.25</v>
      </c>
      <c r="F70" s="1" t="s">
        <v>192</v>
      </c>
      <c r="H70" s="1">
        <f>H68/H69</f>
        <v>1.25</v>
      </c>
    </row>
    <row r="71" spans="1:9" ht="13.8" x14ac:dyDescent="0.25">
      <c r="A71" s="6" t="s">
        <v>120</v>
      </c>
      <c r="B71" s="6"/>
      <c r="C71" s="6"/>
      <c r="D71" s="45" t="s">
        <v>194</v>
      </c>
    </row>
    <row r="72" spans="1:9" x14ac:dyDescent="0.25">
      <c r="B72" s="1" t="s">
        <v>106</v>
      </c>
      <c r="C72" s="1" t="s">
        <v>112</v>
      </c>
      <c r="D72" s="1" t="s">
        <v>113</v>
      </c>
      <c r="E72" s="1" t="s">
        <v>111</v>
      </c>
    </row>
    <row r="73" spans="1:9" ht="13.8" x14ac:dyDescent="0.25">
      <c r="C73" s="1">
        <f>D69</f>
        <v>1000000</v>
      </c>
      <c r="D73" s="46">
        <f>MAX(C73,0)</f>
        <v>1000000</v>
      </c>
      <c r="E73" s="1">
        <f>D70</f>
        <v>1.25</v>
      </c>
      <c r="G73" s="46" t="s">
        <v>195</v>
      </c>
    </row>
    <row r="74" spans="1:9" x14ac:dyDescent="0.25">
      <c r="B74" s="1">
        <v>1000000</v>
      </c>
      <c r="C74" s="1">
        <f t="dataTable" ref="C74:E82" dt2D="0" dtr="0" r1="D65"/>
        <v>1000000</v>
      </c>
      <c r="D74" s="1">
        <v>1000000</v>
      </c>
      <c r="E74" s="1">
        <v>1.25</v>
      </c>
    </row>
    <row r="75" spans="1:9" x14ac:dyDescent="0.25">
      <c r="B75" s="1">
        <v>1500000</v>
      </c>
      <c r="C75" s="1">
        <v>700000</v>
      </c>
      <c r="D75" s="1">
        <v>700000</v>
      </c>
      <c r="E75" s="1">
        <v>0.875</v>
      </c>
    </row>
    <row r="76" spans="1:9" x14ac:dyDescent="0.25">
      <c r="B76" s="1">
        <v>2000000</v>
      </c>
      <c r="C76" s="1">
        <v>400000</v>
      </c>
      <c r="D76" s="1">
        <v>400000</v>
      </c>
      <c r="E76" s="1">
        <v>0.5</v>
      </c>
    </row>
    <row r="77" spans="1:9" x14ac:dyDescent="0.25">
      <c r="B77" s="1">
        <v>2500000</v>
      </c>
      <c r="C77" s="1">
        <v>100000</v>
      </c>
      <c r="D77" s="1">
        <v>100000</v>
      </c>
      <c r="E77" s="1">
        <v>0.125</v>
      </c>
    </row>
    <row r="78" spans="1:9" x14ac:dyDescent="0.25">
      <c r="B78" s="1">
        <v>3000000</v>
      </c>
      <c r="C78" s="1">
        <v>-200000</v>
      </c>
      <c r="D78" s="1">
        <v>0</v>
      </c>
      <c r="E78" s="1">
        <v>-0.25</v>
      </c>
    </row>
    <row r="79" spans="1:9" x14ac:dyDescent="0.25">
      <c r="B79" s="1">
        <v>3500000</v>
      </c>
      <c r="C79" s="1">
        <v>-500000</v>
      </c>
      <c r="D79" s="1">
        <v>0</v>
      </c>
      <c r="E79" s="1">
        <v>-0.625</v>
      </c>
    </row>
    <row r="80" spans="1:9" x14ac:dyDescent="0.25">
      <c r="B80" s="1">
        <v>4000000</v>
      </c>
      <c r="C80" s="1">
        <v>-800000</v>
      </c>
      <c r="D80" s="1">
        <v>0</v>
      </c>
      <c r="E80" s="1">
        <v>-1</v>
      </c>
    </row>
    <row r="81" spans="2:5" x14ac:dyDescent="0.25">
      <c r="B81" s="1">
        <v>4500000</v>
      </c>
      <c r="C81" s="1">
        <v>-1100000</v>
      </c>
      <c r="D81" s="1">
        <v>0</v>
      </c>
      <c r="E81" s="1">
        <v>-1.375</v>
      </c>
    </row>
    <row r="82" spans="2:5" x14ac:dyDescent="0.25">
      <c r="B82" s="1">
        <v>5000000</v>
      </c>
      <c r="C82" s="1">
        <v>-1400000</v>
      </c>
      <c r="D82" s="1">
        <v>0</v>
      </c>
      <c r="E82" s="1">
        <v>-1.75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EPS&amp;DPS</vt:lpstr>
      <vt:lpstr>Dividend Policy theory</vt:lpstr>
      <vt:lpstr>Dividend policy practice</vt:lpstr>
    </vt:vector>
  </TitlesOfParts>
  <Company>nccu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ymchiang</dc:creator>
  <cp:lastModifiedBy>王博奕</cp:lastModifiedBy>
  <dcterms:created xsi:type="dcterms:W3CDTF">1998-12-02T03:43:33Z</dcterms:created>
  <dcterms:modified xsi:type="dcterms:W3CDTF">2021-11-30T02:43:06Z</dcterms:modified>
</cp:coreProperties>
</file>