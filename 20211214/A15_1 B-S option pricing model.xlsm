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dfg\OneDrive - g.ntu.edu.tw\NTU\110-1\110-1財務模型程式應用\20211214\"/>
    </mc:Choice>
  </mc:AlternateContent>
  <xr:revisionPtr revIDLastSave="59" documentId="13_ncr:1_{58EC6EF7-478D-454A-9092-329CF655885E}" xr6:coauthVersionLast="36" xr6:coauthVersionMax="36" xr10:uidLastSave="{12B133F7-8187-4B5D-9FBC-7F36F4FDD9C9}"/>
  <bookViews>
    <workbookView xWindow="240" yWindow="72" windowWidth="14940" windowHeight="9672" activeTab="1" xr2:uid="{00000000-000D-0000-FFFF-FFFF00000000}"/>
  </bookViews>
  <sheets>
    <sheet name="B-S model" sheetId="1" r:id="rId1"/>
    <sheet name="hw ref" sheetId="4" r:id="rId2"/>
  </sheets>
  <calcPr calcId="191029"/>
</workbook>
</file>

<file path=xl/calcChain.xml><?xml version="1.0" encoding="utf-8"?>
<calcChain xmlns="http://schemas.openxmlformats.org/spreadsheetml/2006/main">
  <c r="B13" i="4" l="1"/>
  <c r="H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13" i="1"/>
  <c r="C13" i="4" l="1"/>
  <c r="B8" i="1"/>
  <c r="B9" i="1"/>
  <c r="B7" i="1"/>
  <c r="B6" i="1"/>
  <c r="H14" i="1" s="1"/>
  <c r="E13" i="4" l="1"/>
  <c r="D13" i="4"/>
  <c r="F13" i="4" s="1"/>
  <c r="C35" i="1"/>
  <c r="D35" i="1" s="1"/>
  <c r="C28" i="1"/>
  <c r="C21" i="1"/>
  <c r="C34" i="1"/>
  <c r="C48" i="1"/>
  <c r="C26" i="1"/>
  <c r="I26" i="1" s="1"/>
  <c r="K26" i="1" s="1"/>
  <c r="C19" i="1"/>
  <c r="C20" i="1"/>
  <c r="I20" i="1" s="1"/>
  <c r="K20" i="1" s="1"/>
  <c r="C47" i="1"/>
  <c r="D47" i="1" s="1"/>
  <c r="C40" i="1"/>
  <c r="C33" i="1"/>
  <c r="C42" i="1"/>
  <c r="C41" i="1"/>
  <c r="D41" i="1" s="1"/>
  <c r="C32" i="1"/>
  <c r="C25" i="1"/>
  <c r="C18" i="1"/>
  <c r="C49" i="1"/>
  <c r="C27" i="1"/>
  <c r="C13" i="1"/>
  <c r="E13" i="1" s="1"/>
  <c r="C46" i="1"/>
  <c r="C39" i="1"/>
  <c r="C17" i="1"/>
  <c r="C38" i="1"/>
  <c r="I38" i="1" s="1"/>
  <c r="K38" i="1" s="1"/>
  <c r="C52" i="1"/>
  <c r="C23" i="1"/>
  <c r="C44" i="1"/>
  <c r="C51" i="1"/>
  <c r="C29" i="1"/>
  <c r="D29" i="1" s="1"/>
  <c r="C22" i="1"/>
  <c r="C15" i="1"/>
  <c r="C31" i="1"/>
  <c r="C24" i="1"/>
  <c r="C45" i="1"/>
  <c r="C16" i="1"/>
  <c r="C37" i="1"/>
  <c r="C30" i="1"/>
  <c r="C50" i="1"/>
  <c r="C43" i="1"/>
  <c r="C36" i="1"/>
  <c r="C14" i="1"/>
  <c r="I14" i="1" s="1"/>
  <c r="K14" i="1" s="1"/>
  <c r="H52" i="1"/>
  <c r="H29" i="1"/>
  <c r="B49" i="1"/>
  <c r="B48" i="1"/>
  <c r="B47" i="1"/>
  <c r="H51" i="1"/>
  <c r="H41" i="1"/>
  <c r="H40" i="1"/>
  <c r="B46" i="1"/>
  <c r="H39" i="1"/>
  <c r="B37" i="1"/>
  <c r="B36" i="1"/>
  <c r="H28" i="1"/>
  <c r="B35" i="1"/>
  <c r="H27" i="1"/>
  <c r="B25" i="1"/>
  <c r="H17" i="1"/>
  <c r="B24" i="1"/>
  <c r="H16" i="1"/>
  <c r="B23" i="1"/>
  <c r="H15" i="1"/>
  <c r="H25" i="1"/>
  <c r="B32" i="1"/>
  <c r="H48" i="1"/>
  <c r="H24" i="1"/>
  <c r="H26" i="1"/>
  <c r="B33" i="1"/>
  <c r="H35" i="1"/>
  <c r="B34" i="1"/>
  <c r="H49" i="1"/>
  <c r="H23" i="1"/>
  <c r="H46" i="1"/>
  <c r="H22" i="1"/>
  <c r="B22" i="1"/>
  <c r="B31" i="1"/>
  <c r="B42" i="1"/>
  <c r="B41" i="1"/>
  <c r="H33" i="1"/>
  <c r="H38" i="1"/>
  <c r="H37" i="1"/>
  <c r="B20" i="1"/>
  <c r="B19" i="1"/>
  <c r="H47" i="1"/>
  <c r="B30" i="1"/>
  <c r="H34" i="1"/>
  <c r="B29" i="1"/>
  <c r="H21" i="1"/>
  <c r="B16" i="1"/>
  <c r="B21" i="1"/>
  <c r="B44" i="1"/>
  <c r="H36" i="1"/>
  <c r="B18" i="1"/>
  <c r="B17" i="1"/>
  <c r="B40" i="1"/>
  <c r="H44" i="1"/>
  <c r="H20" i="1"/>
  <c r="B39" i="1"/>
  <c r="B27" i="1"/>
  <c r="B15" i="1"/>
  <c r="H43" i="1"/>
  <c r="H31" i="1"/>
  <c r="H19" i="1"/>
  <c r="H50" i="1"/>
  <c r="B45" i="1"/>
  <c r="B43" i="1"/>
  <c r="B13" i="1"/>
  <c r="H45" i="1"/>
  <c r="B52" i="1"/>
  <c r="B28" i="1"/>
  <c r="H32" i="1"/>
  <c r="B51" i="1"/>
  <c r="B50" i="1"/>
  <c r="B38" i="1"/>
  <c r="B26" i="1"/>
  <c r="B14" i="1"/>
  <c r="H42" i="1"/>
  <c r="H30" i="1"/>
  <c r="H18" i="1"/>
  <c r="G13" i="4" l="1"/>
  <c r="I13" i="1"/>
  <c r="K13" i="1" s="1"/>
  <c r="D13" i="1"/>
  <c r="F13" i="1" s="1"/>
  <c r="G13" i="1" s="1"/>
  <c r="J47" i="1"/>
  <c r="L47" i="1" s="1"/>
  <c r="F47" i="1"/>
  <c r="E36" i="1"/>
  <c r="D36" i="1"/>
  <c r="I36" i="1"/>
  <c r="K36" i="1" s="1"/>
  <c r="E43" i="1"/>
  <c r="D43" i="1"/>
  <c r="I43" i="1"/>
  <c r="K43" i="1" s="1"/>
  <c r="D44" i="1"/>
  <c r="E44" i="1"/>
  <c r="D32" i="1"/>
  <c r="E32" i="1"/>
  <c r="I28" i="1"/>
  <c r="K28" i="1" s="1"/>
  <c r="E28" i="1"/>
  <c r="D28" i="1"/>
  <c r="F41" i="1"/>
  <c r="J41" i="1"/>
  <c r="L41" i="1" s="1"/>
  <c r="D50" i="1"/>
  <c r="E50" i="1"/>
  <c r="I23" i="1"/>
  <c r="K23" i="1" s="1"/>
  <c r="E23" i="1"/>
  <c r="I41" i="1"/>
  <c r="K41" i="1" s="1"/>
  <c r="E41" i="1"/>
  <c r="I35" i="1"/>
  <c r="K35" i="1" s="1"/>
  <c r="E35" i="1"/>
  <c r="E30" i="1"/>
  <c r="I30" i="1"/>
  <c r="K30" i="1" s="1"/>
  <c r="D30" i="1"/>
  <c r="I52" i="1"/>
  <c r="K52" i="1" s="1"/>
  <c r="E52" i="1"/>
  <c r="D52" i="1"/>
  <c r="E42" i="1"/>
  <c r="D42" i="1"/>
  <c r="I42" i="1"/>
  <c r="K42" i="1" s="1"/>
  <c r="E51" i="1"/>
  <c r="I51" i="1"/>
  <c r="K51" i="1" s="1"/>
  <c r="D51" i="1"/>
  <c r="J35" i="1"/>
  <c r="L35" i="1" s="1"/>
  <c r="F35" i="1"/>
  <c r="E37" i="1"/>
  <c r="D37" i="1"/>
  <c r="I37" i="1"/>
  <c r="K37" i="1" s="1"/>
  <c r="I17" i="1"/>
  <c r="K17" i="1" s="1"/>
  <c r="E17" i="1"/>
  <c r="E45" i="1"/>
  <c r="D45" i="1"/>
  <c r="I45" i="1"/>
  <c r="K45" i="1" s="1"/>
  <c r="I46" i="1"/>
  <c r="K46" i="1" s="1"/>
  <c r="E46" i="1"/>
  <c r="D46" i="1"/>
  <c r="E31" i="1"/>
  <c r="I31" i="1"/>
  <c r="K31" i="1" s="1"/>
  <c r="D31" i="1"/>
  <c r="E19" i="1"/>
  <c r="I19" i="1"/>
  <c r="K19" i="1" s="1"/>
  <c r="D19" i="1"/>
  <c r="F29" i="1"/>
  <c r="J29" i="1"/>
  <c r="L29" i="1" s="1"/>
  <c r="D20" i="1"/>
  <c r="E20" i="1"/>
  <c r="I44" i="1"/>
  <c r="K44" i="1" s="1"/>
  <c r="E15" i="1"/>
  <c r="D15" i="1"/>
  <c r="I15" i="1"/>
  <c r="K15" i="1" s="1"/>
  <c r="E27" i="1"/>
  <c r="I27" i="1"/>
  <c r="K27" i="1" s="1"/>
  <c r="D27" i="1"/>
  <c r="D26" i="1"/>
  <c r="E26" i="1"/>
  <c r="E21" i="1"/>
  <c r="D21" i="1"/>
  <c r="I21" i="1"/>
  <c r="K21" i="1" s="1"/>
  <c r="D38" i="1"/>
  <c r="E38" i="1"/>
  <c r="I16" i="1"/>
  <c r="K16" i="1" s="1"/>
  <c r="E16" i="1"/>
  <c r="D16" i="1"/>
  <c r="I47" i="1"/>
  <c r="K47" i="1" s="1"/>
  <c r="E47" i="1"/>
  <c r="E24" i="1"/>
  <c r="D24" i="1"/>
  <c r="I24" i="1"/>
  <c r="K24" i="1" s="1"/>
  <c r="D17" i="1"/>
  <c r="I50" i="1"/>
  <c r="K50" i="1" s="1"/>
  <c r="I22" i="1"/>
  <c r="K22" i="1" s="1"/>
  <c r="E22" i="1"/>
  <c r="D22" i="1"/>
  <c r="E49" i="1"/>
  <c r="I49" i="1"/>
  <c r="K49" i="1" s="1"/>
  <c r="D49" i="1"/>
  <c r="E48" i="1"/>
  <c r="D48" i="1"/>
  <c r="I48" i="1"/>
  <c r="K48" i="1" s="1"/>
  <c r="E25" i="1"/>
  <c r="D25" i="1"/>
  <c r="I25" i="1"/>
  <c r="K25" i="1" s="1"/>
  <c r="E33" i="1"/>
  <c r="I33" i="1"/>
  <c r="K33" i="1" s="1"/>
  <c r="D33" i="1"/>
  <c r="I40" i="1"/>
  <c r="K40" i="1" s="1"/>
  <c r="E40" i="1"/>
  <c r="D40" i="1"/>
  <c r="E39" i="1"/>
  <c r="D39" i="1"/>
  <c r="I39" i="1"/>
  <c r="K39" i="1" s="1"/>
  <c r="I32" i="1"/>
  <c r="K32" i="1" s="1"/>
  <c r="D23" i="1"/>
  <c r="D14" i="1"/>
  <c r="E14" i="1"/>
  <c r="I29" i="1"/>
  <c r="K29" i="1" s="1"/>
  <c r="E29" i="1"/>
  <c r="E18" i="1"/>
  <c r="D18" i="1"/>
  <c r="I18" i="1"/>
  <c r="K18" i="1" s="1"/>
  <c r="I34" i="1"/>
  <c r="K34" i="1" s="1"/>
  <c r="E34" i="1"/>
  <c r="D34" i="1"/>
  <c r="M35" i="1" l="1"/>
  <c r="M47" i="1"/>
  <c r="M29" i="1"/>
  <c r="M41" i="1"/>
  <c r="J13" i="1"/>
  <c r="L13" i="1" s="1"/>
  <c r="M13" i="1" s="1"/>
  <c r="G29" i="1"/>
  <c r="G41" i="1"/>
  <c r="G47" i="1"/>
  <c r="F38" i="1"/>
  <c r="G38" i="1" s="1"/>
  <c r="J38" i="1"/>
  <c r="L38" i="1" s="1"/>
  <c r="M38" i="1" s="1"/>
  <c r="F51" i="1"/>
  <c r="G51" i="1" s="1"/>
  <c r="J51" i="1"/>
  <c r="L51" i="1" s="1"/>
  <c r="M51" i="1" s="1"/>
  <c r="G35" i="1"/>
  <c r="J34" i="1"/>
  <c r="L34" i="1" s="1"/>
  <c r="M34" i="1" s="1"/>
  <c r="F34" i="1"/>
  <c r="G34" i="1" s="1"/>
  <c r="J24" i="1"/>
  <c r="L24" i="1" s="1"/>
  <c r="M24" i="1" s="1"/>
  <c r="F24" i="1"/>
  <c r="G24" i="1" s="1"/>
  <c r="F19" i="1"/>
  <c r="G19" i="1" s="1"/>
  <c r="J19" i="1"/>
  <c r="L19" i="1" s="1"/>
  <c r="M19" i="1" s="1"/>
  <c r="F26" i="1"/>
  <c r="G26" i="1" s="1"/>
  <c r="J26" i="1"/>
  <c r="L26" i="1" s="1"/>
  <c r="M26" i="1" s="1"/>
  <c r="F40" i="1"/>
  <c r="G40" i="1" s="1"/>
  <c r="J40" i="1"/>
  <c r="L40" i="1" s="1"/>
  <c r="M40" i="1" s="1"/>
  <c r="J42" i="1"/>
  <c r="L42" i="1" s="1"/>
  <c r="M42" i="1" s="1"/>
  <c r="F42" i="1"/>
  <c r="G42" i="1" s="1"/>
  <c r="J44" i="1"/>
  <c r="L44" i="1" s="1"/>
  <c r="M44" i="1" s="1"/>
  <c r="F44" i="1"/>
  <c r="G44" i="1" s="1"/>
  <c r="F39" i="1"/>
  <c r="G39" i="1" s="1"/>
  <c r="J39" i="1"/>
  <c r="L39" i="1" s="1"/>
  <c r="M39" i="1" s="1"/>
  <c r="J45" i="1"/>
  <c r="L45" i="1" s="1"/>
  <c r="M45" i="1" s="1"/>
  <c r="F45" i="1"/>
  <c r="G45" i="1" s="1"/>
  <c r="J18" i="1"/>
  <c r="L18" i="1" s="1"/>
  <c r="M18" i="1" s="1"/>
  <c r="F18" i="1"/>
  <c r="G18" i="1" s="1"/>
  <c r="J48" i="1"/>
  <c r="L48" i="1" s="1"/>
  <c r="M48" i="1" s="1"/>
  <c r="F48" i="1"/>
  <c r="G48" i="1" s="1"/>
  <c r="F27" i="1"/>
  <c r="G27" i="1" s="1"/>
  <c r="J27" i="1"/>
  <c r="L27" i="1" s="1"/>
  <c r="M27" i="1" s="1"/>
  <c r="J49" i="1"/>
  <c r="L49" i="1" s="1"/>
  <c r="M49" i="1" s="1"/>
  <c r="F49" i="1"/>
  <c r="G49" i="1" s="1"/>
  <c r="J31" i="1"/>
  <c r="L31" i="1" s="1"/>
  <c r="M31" i="1" s="1"/>
  <c r="F31" i="1"/>
  <c r="G31" i="1" s="1"/>
  <c r="F52" i="1"/>
  <c r="G52" i="1" s="1"/>
  <c r="J52" i="1"/>
  <c r="L52" i="1" s="1"/>
  <c r="M52" i="1" s="1"/>
  <c r="J43" i="1"/>
  <c r="L43" i="1" s="1"/>
  <c r="M43" i="1" s="1"/>
  <c r="F43" i="1"/>
  <c r="G43" i="1" s="1"/>
  <c r="J32" i="1"/>
  <c r="L32" i="1" s="1"/>
  <c r="M32" i="1" s="1"/>
  <c r="F32" i="1"/>
  <c r="G32" i="1" s="1"/>
  <c r="F16" i="1"/>
  <c r="G16" i="1" s="1"/>
  <c r="J16" i="1"/>
  <c r="L16" i="1" s="1"/>
  <c r="M16" i="1" s="1"/>
  <c r="J33" i="1"/>
  <c r="L33" i="1" s="1"/>
  <c r="M33" i="1" s="1"/>
  <c r="F33" i="1"/>
  <c r="G33" i="1" s="1"/>
  <c r="J22" i="1"/>
  <c r="L22" i="1" s="1"/>
  <c r="M22" i="1" s="1"/>
  <c r="F22" i="1"/>
  <c r="G22" i="1" s="1"/>
  <c r="F15" i="1"/>
  <c r="G15" i="1" s="1"/>
  <c r="J15" i="1"/>
  <c r="L15" i="1" s="1"/>
  <c r="M15" i="1" s="1"/>
  <c r="F50" i="1"/>
  <c r="G50" i="1" s="1"/>
  <c r="J50" i="1"/>
  <c r="L50" i="1" s="1"/>
  <c r="M50" i="1" s="1"/>
  <c r="J37" i="1"/>
  <c r="L37" i="1" s="1"/>
  <c r="M37" i="1" s="1"/>
  <c r="F37" i="1"/>
  <c r="G37" i="1" s="1"/>
  <c r="J30" i="1"/>
  <c r="L30" i="1" s="1"/>
  <c r="M30" i="1" s="1"/>
  <c r="F30" i="1"/>
  <c r="G30" i="1" s="1"/>
  <c r="J36" i="1"/>
  <c r="L36" i="1" s="1"/>
  <c r="M36" i="1" s="1"/>
  <c r="F36" i="1"/>
  <c r="G36" i="1" s="1"/>
  <c r="F14" i="1"/>
  <c r="G14" i="1" s="1"/>
  <c r="J14" i="1"/>
  <c r="L14" i="1" s="1"/>
  <c r="M14" i="1" s="1"/>
  <c r="J23" i="1"/>
  <c r="L23" i="1" s="1"/>
  <c r="M23" i="1" s="1"/>
  <c r="F23" i="1"/>
  <c r="G23" i="1" s="1"/>
  <c r="J25" i="1"/>
  <c r="L25" i="1" s="1"/>
  <c r="M25" i="1" s="1"/>
  <c r="F25" i="1"/>
  <c r="G25" i="1" s="1"/>
  <c r="F17" i="1"/>
  <c r="G17" i="1" s="1"/>
  <c r="J17" i="1"/>
  <c r="L17" i="1" s="1"/>
  <c r="M17" i="1" s="1"/>
  <c r="J21" i="1"/>
  <c r="L21" i="1" s="1"/>
  <c r="M21" i="1" s="1"/>
  <c r="F21" i="1"/>
  <c r="G21" i="1" s="1"/>
  <c r="J20" i="1"/>
  <c r="L20" i="1" s="1"/>
  <c r="M20" i="1" s="1"/>
  <c r="F20" i="1"/>
  <c r="G20" i="1" s="1"/>
  <c r="F28" i="1"/>
  <c r="G28" i="1" s="1"/>
  <c r="J28" i="1"/>
  <c r="L28" i="1" s="1"/>
  <c r="M28" i="1" s="1"/>
  <c r="J46" i="1"/>
  <c r="L46" i="1" s="1"/>
  <c r="M46" i="1" s="1"/>
  <c r="F46" i="1"/>
  <c r="G46" i="1" s="1"/>
</calcChain>
</file>

<file path=xl/sharedStrings.xml><?xml version="1.0" encoding="utf-8"?>
<sst xmlns="http://schemas.openxmlformats.org/spreadsheetml/2006/main" count="67" uniqueCount="40">
  <si>
    <t>Option Pricing</t>
    <phoneticPr fontId="1" type="noConversion"/>
  </si>
  <si>
    <t>Black-Scholes Model</t>
    <phoneticPr fontId="1" type="noConversion"/>
  </si>
  <si>
    <t>r</t>
    <phoneticPr fontId="1" type="noConversion"/>
  </si>
  <si>
    <t>T</t>
    <phoneticPr fontId="1" type="noConversion"/>
  </si>
  <si>
    <t>Sigma</t>
    <phoneticPr fontId="1" type="noConversion"/>
  </si>
  <si>
    <t>0/365-180/365@1/365</t>
    <phoneticPr fontId="1" type="noConversion"/>
  </si>
  <si>
    <t>0%-200%@1%</t>
    <phoneticPr fontId="1" type="noConversion"/>
  </si>
  <si>
    <t>0%-20%@1%</t>
    <phoneticPr fontId="1" type="noConversion"/>
  </si>
  <si>
    <t>0-150@1</t>
    <phoneticPr fontId="1" type="noConversion"/>
  </si>
  <si>
    <t>Stock price</t>
    <phoneticPr fontId="1" type="noConversion"/>
  </si>
  <si>
    <t>Call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</si>
  <si>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</si>
  <si>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</si>
  <si>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</si>
  <si>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</si>
  <si>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Call Price</t>
    <phoneticPr fontId="1" type="noConversion"/>
  </si>
  <si>
    <t>Call Payoff</t>
    <phoneticPr fontId="1" type="noConversion"/>
  </si>
  <si>
    <t>Put</t>
    <phoneticPr fontId="1" type="noConversion"/>
  </si>
  <si>
    <t>-d1</t>
    <phoneticPr fontId="1" type="noConversion"/>
  </si>
  <si>
    <t>-d2</t>
    <phoneticPr fontId="1" type="noConversion"/>
  </si>
  <si>
    <t>N(-d1)</t>
    <phoneticPr fontId="1" type="noConversion"/>
  </si>
  <si>
    <t>N(-d2)</t>
    <phoneticPr fontId="1" type="noConversion"/>
  </si>
  <si>
    <t>Put Payoff</t>
    <phoneticPr fontId="1" type="noConversion"/>
  </si>
  <si>
    <t>Put Price</t>
    <phoneticPr fontId="1" type="noConversion"/>
  </si>
  <si>
    <t>Put Price</t>
    <phoneticPr fontId="1" type="noConversion"/>
  </si>
  <si>
    <t>Call Price</t>
    <phoneticPr fontId="1" type="noConversion"/>
  </si>
  <si>
    <t>高</t>
    <phoneticPr fontId="1" type="noConversion"/>
  </si>
  <si>
    <t>T越高</t>
    <phoneticPr fontId="1" type="noConversion"/>
  </si>
  <si>
    <t>sigma越高</t>
    <phoneticPr fontId="1" type="noConversion"/>
  </si>
  <si>
    <t>低</t>
    <phoneticPr fontId="1" type="noConversion"/>
  </si>
  <si>
    <t>r越高</t>
    <phoneticPr fontId="1" type="noConversion"/>
  </si>
  <si>
    <t>股價越高</t>
    <phoneticPr fontId="1" type="noConversion"/>
  </si>
  <si>
    <t>X越高</t>
    <phoneticPr fontId="1" type="noConversion"/>
  </si>
  <si>
    <t>By Put-Call parity</t>
    <phoneticPr fontId="1" type="noConversion"/>
  </si>
  <si>
    <t>X or K</t>
    <phoneticPr fontId="1" type="noConversion"/>
  </si>
  <si>
    <t xml:space="preserve"> </t>
    <phoneticPr fontId="1" type="noConversion"/>
  </si>
  <si>
    <t>Market price</t>
    <phoneticPr fontId="1" type="noConversion"/>
  </si>
  <si>
    <t>model price</t>
    <phoneticPr fontId="1" type="noConversion"/>
  </si>
  <si>
    <t>: means known</t>
    <phoneticPr fontId="1" type="noConversion"/>
  </si>
  <si>
    <t>-&gt;try to find implied volatility: goal seek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</si>
</sst>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78" formatCode="0.000_);[Red]\(0.000\)"/>
    <numFmt numFmtId="180" formatCode="0.00000_);[Red]\(0.00000\)"/>
  </numFmts>
  <fonts count="4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4" fontId="3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quotePrefix="1">
      <alignment vertical="center"/>
    </xf>
    <xf numFmtId="9" fontId="0" fillId="0" borderId="0" xfId="0" applyNumberFormat="1">
      <alignment vertical="center"/>
    </xf>
    <xf numFmtId="178" fontId="0" fillId="0" borderId="0" xfId="0" applyNumberFormat="1">
      <alignment vertical="center"/>
    </xf>
    <xf numFmtId="180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0" fontId="0" fillId="2" borderId="0" xfId="0" applyFill="1">
      <alignment vertical="center"/>
    </xf>
    <xf numFmtId="9" fontId="0" fillId="2" borderId="0" xfId="0" applyNumberFormat="1" applyFill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Calls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Call Payoff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'B-S model'!$A$13:$A$52</c:f>
              <c:numCache>
                <c:formatCode>General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'B-S model'!$B$13:$B$52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9</c:v>
                </c:pt>
                <c:pt idx="18">
                  <c:v>14</c:v>
                </c:pt>
                <c:pt idx="19">
                  <c:v>19</c:v>
                </c:pt>
                <c:pt idx="20">
                  <c:v>24</c:v>
                </c:pt>
                <c:pt idx="21">
                  <c:v>29</c:v>
                </c:pt>
                <c:pt idx="22">
                  <c:v>34</c:v>
                </c:pt>
                <c:pt idx="23">
                  <c:v>39</c:v>
                </c:pt>
                <c:pt idx="24">
                  <c:v>44</c:v>
                </c:pt>
                <c:pt idx="25">
                  <c:v>49</c:v>
                </c:pt>
                <c:pt idx="26">
                  <c:v>54</c:v>
                </c:pt>
                <c:pt idx="27">
                  <c:v>59</c:v>
                </c:pt>
                <c:pt idx="28">
                  <c:v>64</c:v>
                </c:pt>
                <c:pt idx="29">
                  <c:v>69</c:v>
                </c:pt>
                <c:pt idx="30">
                  <c:v>74</c:v>
                </c:pt>
                <c:pt idx="31">
                  <c:v>79</c:v>
                </c:pt>
                <c:pt idx="32">
                  <c:v>84</c:v>
                </c:pt>
                <c:pt idx="33">
                  <c:v>89</c:v>
                </c:pt>
                <c:pt idx="34">
                  <c:v>94</c:v>
                </c:pt>
                <c:pt idx="35">
                  <c:v>99</c:v>
                </c:pt>
                <c:pt idx="36">
                  <c:v>104</c:v>
                </c:pt>
                <c:pt idx="37">
                  <c:v>109</c:v>
                </c:pt>
                <c:pt idx="38">
                  <c:v>114</c:v>
                </c:pt>
                <c:pt idx="39">
                  <c:v>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8F-4337-9369-96B94552B27C}"/>
            </c:ext>
          </c:extLst>
        </c:ser>
        <c:ser>
          <c:idx val="1"/>
          <c:order val="1"/>
          <c:tx>
            <c:v>Call Price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'B-S model'!$A$13:$A$52</c:f>
              <c:numCache>
                <c:formatCode>General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'B-S model'!$G$13:$G$52</c:f>
              <c:numCache>
                <c:formatCode>0.000_);[Red]\(0.000\)</c:formatCode>
                <c:ptCount val="40"/>
                <c:pt idx="0">
                  <c:v>5.3771915965196212E-6</c:v>
                </c:pt>
                <c:pt idx="1">
                  <c:v>1.3183869428408952E-3</c:v>
                </c:pt>
                <c:pt idx="2">
                  <c:v>1.870190804546483E-2</c:v>
                </c:pt>
                <c:pt idx="3">
                  <c:v>9.6184011609346254E-2</c:v>
                </c:pt>
                <c:pt idx="4">
                  <c:v>0.2994227944159944</c:v>
                </c:pt>
                <c:pt idx="5">
                  <c:v>0.69603936302525549</c:v>
                </c:pt>
                <c:pt idx="6">
                  <c:v>1.3414761224771432</c:v>
                </c:pt>
                <c:pt idx="7">
                  <c:v>2.273495800079675</c:v>
                </c:pt>
                <c:pt idx="8">
                  <c:v>3.5124268246513921</c:v>
                </c:pt>
                <c:pt idx="9">
                  <c:v>5.0640644740400074</c:v>
                </c:pt>
                <c:pt idx="10">
                  <c:v>6.9232891497953961</c:v>
                </c:pt>
                <c:pt idx="11">
                  <c:v>9.0774480177457662</c:v>
                </c:pt>
                <c:pt idx="12">
                  <c:v>11.509139533520045</c:v>
                </c:pt>
                <c:pt idx="13">
                  <c:v>14.1983411074266</c:v>
                </c:pt>
                <c:pt idx="14">
                  <c:v>17.123949634937858</c:v>
                </c:pt>
                <c:pt idx="15">
                  <c:v>20.26484585155934</c:v>
                </c:pt>
                <c:pt idx="16">
                  <c:v>23.600594065212761</c:v>
                </c:pt>
                <c:pt idx="17">
                  <c:v>27.111873534752064</c:v>
                </c:pt>
                <c:pt idx="18">
                  <c:v>30.780718467914049</c:v>
                </c:pt>
                <c:pt idx="19">
                  <c:v>34.590625430250327</c:v>
                </c:pt>
                <c:pt idx="20">
                  <c:v>38.52657169619971</c:v>
                </c:pt>
                <c:pt idx="21">
                  <c:v>42.574976024671152</c:v>
                </c:pt>
                <c:pt idx="22">
                  <c:v>46.723624177201877</c:v>
                </c:pt>
                <c:pt idx="23">
                  <c:v>50.961574699942673</c:v>
                </c:pt>
                <c:pt idx="24">
                  <c:v>55.279055542590385</c:v>
                </c:pt>
                <c:pt idx="25">
                  <c:v>59.667358538722425</c:v>
                </c:pt>
                <c:pt idx="26">
                  <c:v>64.118736260785155</c:v>
                </c:pt>
                <c:pt idx="27">
                  <c:v>68.626304009296831</c:v>
                </c:pt>
                <c:pt idx="28">
                  <c:v>73.183948488748456</c:v>
                </c:pt>
                <c:pt idx="29">
                  <c:v>77.786243906112787</c:v>
                </c:pt>
                <c:pt idx="30">
                  <c:v>82.428375687709021</c:v>
                </c:pt>
                <c:pt idx="31">
                  <c:v>87.106071663831486</c:v>
                </c:pt>
                <c:pt idx="32">
                  <c:v>91.815540358707594</c:v>
                </c:pt>
                <c:pt idx="33">
                  <c:v>96.553415903691587</c:v>
                </c:pt>
                <c:pt idx="34">
                  <c:v>101.31670903412969</c:v>
                </c:pt>
                <c:pt idx="35">
                  <c:v>106.10276361393966</c:v>
                </c:pt>
                <c:pt idx="36">
                  <c:v>110.90921814188559</c:v>
                </c:pt>
                <c:pt idx="37">
                  <c:v>115.73397171958815</c:v>
                </c:pt>
                <c:pt idx="38">
                  <c:v>120.57515399650542</c:v>
                </c:pt>
                <c:pt idx="39">
                  <c:v>125.43109864674047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8F-4337-9369-96B94552B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516703"/>
        <c:axId val="2050260511"/>
      </c:scatterChart>
      <c:valAx>
        <c:axId val="1792516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50260511"/>
        <c:crosses val="autoZero"/>
        <c:crossBetween val="midCat"/>
      </c:valAx>
      <c:valAx>
        <c:axId val="2050260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92516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Puts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Put Payoff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'B-S model'!$A$13:$A$52</c:f>
              <c:numCache>
                <c:formatCode>General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'B-S model'!$H$13:$H$52</c:f>
              <c:numCache>
                <c:formatCode>General</c:formatCode>
                <c:ptCount val="40"/>
                <c:pt idx="0">
                  <c:v>76</c:v>
                </c:pt>
                <c:pt idx="1">
                  <c:v>71</c:v>
                </c:pt>
                <c:pt idx="2">
                  <c:v>66</c:v>
                </c:pt>
                <c:pt idx="3">
                  <c:v>61</c:v>
                </c:pt>
                <c:pt idx="4">
                  <c:v>56</c:v>
                </c:pt>
                <c:pt idx="5">
                  <c:v>51</c:v>
                </c:pt>
                <c:pt idx="6">
                  <c:v>46</c:v>
                </c:pt>
                <c:pt idx="7">
                  <c:v>41</c:v>
                </c:pt>
                <c:pt idx="8">
                  <c:v>36</c:v>
                </c:pt>
                <c:pt idx="9">
                  <c:v>31</c:v>
                </c:pt>
                <c:pt idx="10">
                  <c:v>26</c:v>
                </c:pt>
                <c:pt idx="11">
                  <c:v>21</c:v>
                </c:pt>
                <c:pt idx="12">
                  <c:v>16</c:v>
                </c:pt>
                <c:pt idx="13">
                  <c:v>11</c:v>
                </c:pt>
                <c:pt idx="14">
                  <c:v>6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13-4D37-ACDB-552FB2FB31B6}"/>
            </c:ext>
          </c:extLst>
        </c:ser>
        <c:ser>
          <c:idx val="1"/>
          <c:order val="1"/>
          <c:tx>
            <c:v>Put Price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'B-S model'!$A$13:$A$52</c:f>
              <c:numCache>
                <c:formatCode>General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'B-S model'!$M$13:$M$52</c:f>
              <c:numCache>
                <c:formatCode>General</c:formatCode>
                <c:ptCount val="40"/>
                <c:pt idx="0">
                  <c:v>71.136776766932854</c:v>
                </c:pt>
                <c:pt idx="1">
                  <c:v>66.138089776684097</c:v>
                </c:pt>
                <c:pt idx="2">
                  <c:v>61.155473297786713</c:v>
                </c:pt>
                <c:pt idx="3">
                  <c:v>56.232955401350601</c:v>
                </c:pt>
                <c:pt idx="4">
                  <c:v>51.436194184157252</c:v>
                </c:pt>
                <c:pt idx="5">
                  <c:v>46.832810752766513</c:v>
                </c:pt>
                <c:pt idx="6">
                  <c:v>42.478247512218402</c:v>
                </c:pt>
                <c:pt idx="7">
                  <c:v>38.410267189820942</c:v>
                </c:pt>
                <c:pt idx="8">
                  <c:v>34.649198214392648</c:v>
                </c:pt>
                <c:pt idx="9">
                  <c:v>31.200835863781265</c:v>
                </c:pt>
                <c:pt idx="10">
                  <c:v>28.06006053953665</c:v>
                </c:pt>
                <c:pt idx="11">
                  <c:v>25.214219407487015</c:v>
                </c:pt>
                <c:pt idx="12">
                  <c:v>22.645910923261308</c:v>
                </c:pt>
                <c:pt idx="13">
                  <c:v>20.335112497167852</c:v>
                </c:pt>
                <c:pt idx="14">
                  <c:v>18.260721024679114</c:v>
                </c:pt>
                <c:pt idx="15">
                  <c:v>16.401617241300595</c:v>
                </c:pt>
                <c:pt idx="16">
                  <c:v>14.737365454954016</c:v>
                </c:pt>
                <c:pt idx="17">
                  <c:v>13.24864492449333</c:v>
                </c:pt>
                <c:pt idx="18">
                  <c:v>11.917489857655298</c:v>
                </c:pt>
                <c:pt idx="19">
                  <c:v>10.727396819991579</c:v>
                </c:pt>
                <c:pt idx="20">
                  <c:v>9.6633430859409586</c:v>
                </c:pt>
                <c:pt idx="21">
                  <c:v>8.7117474144124074</c:v>
                </c:pt>
                <c:pt idx="22">
                  <c:v>7.8603955669431222</c:v>
                </c:pt>
                <c:pt idx="23">
                  <c:v>7.0983460896839361</c:v>
                </c:pt>
                <c:pt idx="24">
                  <c:v>6.4158269323316404</c:v>
                </c:pt>
                <c:pt idx="25">
                  <c:v>5.8041299284636807</c:v>
                </c:pt>
                <c:pt idx="26">
                  <c:v>5.2555076505264093</c:v>
                </c:pt>
                <c:pt idx="27">
                  <c:v>4.7630753990380708</c:v>
                </c:pt>
                <c:pt idx="28">
                  <c:v>4.3207198784897205</c:v>
                </c:pt>
                <c:pt idx="29">
                  <c:v>3.9230152958540341</c:v>
                </c:pt>
                <c:pt idx="30">
                  <c:v>3.5651470774502645</c:v>
                </c:pt>
                <c:pt idx="31">
                  <c:v>3.2428430535727379</c:v>
                </c:pt>
                <c:pt idx="32">
                  <c:v>2.9523117484488353</c:v>
                </c:pt>
                <c:pt idx="33">
                  <c:v>2.6901872934328406</c:v>
                </c:pt>
                <c:pt idx="34">
                  <c:v>2.4534804238709524</c:v>
                </c:pt>
                <c:pt idx="35">
                  <c:v>2.2395350036809161</c:v>
                </c:pt>
                <c:pt idx="36">
                  <c:v>2.0459895316268302</c:v>
                </c:pt>
                <c:pt idx="37">
                  <c:v>1.8707431093294034</c:v>
                </c:pt>
                <c:pt idx="38">
                  <c:v>1.7119253862466834</c:v>
                </c:pt>
                <c:pt idx="39">
                  <c:v>1.5678700364817297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13-4D37-ACDB-552FB2FB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938911"/>
        <c:axId val="2050255935"/>
      </c:scatterChart>
      <c:valAx>
        <c:axId val="204093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50255935"/>
        <c:crosses val="autoZero"/>
        <c:crossBetween val="midCat"/>
      </c:valAx>
      <c:valAx>
        <c:axId val="2050255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93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190500</xdr:rowOff>
        </xdr:from>
        <xdr:to>
          <xdr:col>10</xdr:col>
          <xdr:colOff>487680</xdr:colOff>
          <xdr:row>4</xdr:row>
          <xdr:rowOff>60960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45720</xdr:rowOff>
        </xdr:from>
        <xdr:to>
          <xdr:col>13</xdr:col>
          <xdr:colOff>0</xdr:colOff>
          <xdr:row>4</xdr:row>
          <xdr:rowOff>175260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144780</xdr:colOff>
          <xdr:row>2</xdr:row>
          <xdr:rowOff>137160</xdr:rowOff>
        </xdr:from>
        <xdr:to>
          <xdr:col>14</xdr:col>
          <xdr:colOff>525780</xdr:colOff>
          <xdr:row>4</xdr:row>
          <xdr:rowOff>7620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640080</xdr:colOff>
          <xdr:row>5</xdr:row>
          <xdr:rowOff>83820</xdr:rowOff>
        </xdr:from>
        <xdr:to>
          <xdr:col>12</xdr:col>
          <xdr:colOff>114300</xdr:colOff>
          <xdr:row>6</xdr:row>
          <xdr:rowOff>198120</xdr:rowOff>
        </xdr:to>
        <xdr:sp macro="" textlink="">
          <xdr:nvSpPr>
            <xdr:cNvPr id="1033" name="Object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640080</xdr:colOff>
          <xdr:row>7</xdr:row>
          <xdr:rowOff>144780</xdr:rowOff>
        </xdr:from>
        <xdr:to>
          <xdr:col>12</xdr:col>
          <xdr:colOff>99060</xdr:colOff>
          <xdr:row>9</xdr:row>
          <xdr:rowOff>0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601980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35" name="ScrollBar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7620</xdr:rowOff>
        </xdr:from>
        <xdr:to>
          <xdr:col>3</xdr:col>
          <xdr:colOff>7620</xdr:colOff>
          <xdr:row>7</xdr:row>
          <xdr:rowOff>7620</xdr:rowOff>
        </xdr:to>
        <xdr:sp macro="" textlink="">
          <xdr:nvSpPr>
            <xdr:cNvPr id="1036" name="ScrollBar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7620</xdr:rowOff>
        </xdr:from>
        <xdr:to>
          <xdr:col>3</xdr:col>
          <xdr:colOff>7620</xdr:colOff>
          <xdr:row>8</xdr:row>
          <xdr:rowOff>7620</xdr:rowOff>
        </xdr:to>
        <xdr:sp macro="" textlink="">
          <xdr:nvSpPr>
            <xdr:cNvPr id="1037" name="ScrollBar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15240</xdr:rowOff>
        </xdr:from>
        <xdr:to>
          <xdr:col>3</xdr:col>
          <xdr:colOff>7620</xdr:colOff>
          <xdr:row>9</xdr:row>
          <xdr:rowOff>15240</xdr:rowOff>
        </xdr:to>
        <xdr:sp macro="" textlink="">
          <xdr:nvSpPr>
            <xdr:cNvPr id="1038" name="ScrollBar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72813</xdr:colOff>
      <xdr:row>4</xdr:row>
      <xdr:rowOff>67734</xdr:rowOff>
    </xdr:from>
    <xdr:to>
      <xdr:col>22</xdr:col>
      <xdr:colOff>377613</xdr:colOff>
      <xdr:row>17</xdr:row>
      <xdr:rowOff>136314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296A8C-83B7-459F-AEB8-624CEEBCA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64347</xdr:colOff>
      <xdr:row>17</xdr:row>
      <xdr:rowOff>195580</xdr:rowOff>
    </xdr:from>
    <xdr:to>
      <xdr:col>22</xdr:col>
      <xdr:colOff>369147</xdr:colOff>
      <xdr:row>31</xdr:row>
      <xdr:rowOff>58420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24341F-2F10-4991-B3B1-8C61EA5F2A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1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2.xml"/><Relationship Id="rId20" Type="http://schemas.openxmlformats.org/officeDocument/2006/relationships/control" Target="../activeX/activeX4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8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2"/>
  <sheetViews>
    <sheetView showGridLines="0" zoomScale="90" zoomScaleNormal="90" workbookViewId="0">
      <selection activeCell="E10" sqref="E10"/>
    </sheetView>
  </sheetViews>
  <sheetFormatPr defaultRowHeight="16.2" x14ac:dyDescent="0.3"/>
  <cols>
    <col min="5" max="5" width="13.33203125" bestFit="1" customWidth="1"/>
    <col min="7" max="7" width="11.5546875" customWidth="1"/>
  </cols>
  <sheetData>
    <row r="1" spans="1:26" x14ac:dyDescent="0.3">
      <c r="A1" t="s">
        <v>0</v>
      </c>
    </row>
    <row r="2" spans="1:26" x14ac:dyDescent="0.3">
      <c r="A2" t="s">
        <v>1</v>
      </c>
    </row>
    <row r="4" spans="1:26" x14ac:dyDescent="0.3">
      <c r="P4" t="s">
        <v>35</v>
      </c>
    </row>
    <row r="6" spans="1:26" x14ac:dyDescent="0.3">
      <c r="A6" s="1" t="s">
        <v>34</v>
      </c>
      <c r="B6">
        <f>F6</f>
        <v>81</v>
      </c>
      <c r="D6" s="2" t="s">
        <v>8</v>
      </c>
      <c r="F6">
        <v>81</v>
      </c>
    </row>
    <row r="7" spans="1:26" x14ac:dyDescent="0.3">
      <c r="A7" s="1" t="s">
        <v>2</v>
      </c>
      <c r="B7" s="3">
        <f>F7/100</f>
        <v>0.2</v>
      </c>
      <c r="D7" s="2" t="s">
        <v>7</v>
      </c>
      <c r="F7">
        <v>20</v>
      </c>
    </row>
    <row r="8" spans="1:26" x14ac:dyDescent="0.3">
      <c r="A8" s="1" t="s">
        <v>3</v>
      </c>
      <c r="B8">
        <f>F8/365</f>
        <v>0.30958904109589042</v>
      </c>
      <c r="D8" s="2" t="s">
        <v>5</v>
      </c>
      <c r="F8">
        <v>113</v>
      </c>
      <c r="Z8" t="s">
        <v>25</v>
      </c>
    </row>
    <row r="9" spans="1:26" x14ac:dyDescent="0.3">
      <c r="A9" s="1" t="s">
        <v>4</v>
      </c>
      <c r="B9" s="3">
        <f>F9/100</f>
        <v>1.07</v>
      </c>
      <c r="D9" s="2" t="s">
        <v>6</v>
      </c>
      <c r="F9">
        <v>107</v>
      </c>
      <c r="Y9" t="s">
        <v>31</v>
      </c>
      <c r="Z9" t="s">
        <v>26</v>
      </c>
    </row>
    <row r="10" spans="1:26" x14ac:dyDescent="0.3">
      <c r="Y10" t="s">
        <v>32</v>
      </c>
      <c r="Z10" t="s">
        <v>29</v>
      </c>
    </row>
    <row r="11" spans="1:26" x14ac:dyDescent="0.3">
      <c r="B11" t="s">
        <v>10</v>
      </c>
      <c r="H11" t="s">
        <v>17</v>
      </c>
      <c r="Y11" t="s">
        <v>30</v>
      </c>
      <c r="Z11" t="s">
        <v>26</v>
      </c>
    </row>
    <row r="12" spans="1:26" x14ac:dyDescent="0.3">
      <c r="A12" s="1" t="s">
        <v>9</v>
      </c>
      <c r="B12" t="s">
        <v>16</v>
      </c>
      <c r="C12" t="s">
        <v>11</v>
      </c>
      <c r="D12" t="s">
        <v>12</v>
      </c>
      <c r="E12" t="s">
        <v>13</v>
      </c>
      <c r="F12" t="s">
        <v>14</v>
      </c>
      <c r="G12" t="s">
        <v>15</v>
      </c>
      <c r="H12" t="s">
        <v>22</v>
      </c>
      <c r="I12" s="2" t="s">
        <v>18</v>
      </c>
      <c r="J12" s="2" t="s">
        <v>19</v>
      </c>
      <c r="K12" t="s">
        <v>20</v>
      </c>
      <c r="L12" t="s">
        <v>21</v>
      </c>
      <c r="M12" t="s">
        <v>23</v>
      </c>
      <c r="N12" t="s">
        <v>33</v>
      </c>
      <c r="Y12" t="s">
        <v>27</v>
      </c>
      <c r="Z12" t="s">
        <v>26</v>
      </c>
    </row>
    <row r="13" spans="1:26" x14ac:dyDescent="0.3">
      <c r="A13">
        <v>5</v>
      </c>
      <c r="B13">
        <f>MAX(A13-$B$6,0)</f>
        <v>0</v>
      </c>
      <c r="C13">
        <f>(LN(A13/$B$6)+$B$7*$B$8)/($B$9*$B$8^0.5)+0.5*$B$9*$B$8^0.5</f>
        <v>-4.2762148529173167</v>
      </c>
      <c r="D13">
        <f>C13-$B$9*$B$8^0.5</f>
        <v>-4.8715706231511202</v>
      </c>
      <c r="E13" s="5">
        <f>NORMDIST(C13,0,1,TRUE)</f>
        <v>9.5048884984596245E-6</v>
      </c>
      <c r="F13" s="5">
        <f>NORMDIST(D13,0,1,TRUE)</f>
        <v>5.5357286796452555E-7</v>
      </c>
      <c r="G13" s="4">
        <f>A13*E13-$B$6*EXP(-$B$7*$B$8)*F13</f>
        <v>5.3771915965196212E-6</v>
      </c>
      <c r="H13">
        <f>MAX($B$6-A13,0)</f>
        <v>76</v>
      </c>
      <c r="I13">
        <f>-C13</f>
        <v>4.2762148529173167</v>
      </c>
      <c r="J13">
        <f>-D13</f>
        <v>4.8715706231511202</v>
      </c>
      <c r="K13">
        <f>_xlfn.NORM.DIST(I13,0,1,TRUE)</f>
        <v>0.99999049511150151</v>
      </c>
      <c r="L13">
        <f>_xlfn.NORM.DIST(J13,0,1,TRUE)</f>
        <v>0.99999944642713201</v>
      </c>
      <c r="M13">
        <f>-A13*K13+$B$6*EXP(-$B$7*$B$8)*L13</f>
        <v>71.136776766932854</v>
      </c>
      <c r="N13">
        <f>G13+$B$6*EXP(-$B$7*$B$8)-A13</f>
        <v>71.136776766932854</v>
      </c>
      <c r="Y13" t="s">
        <v>28</v>
      </c>
      <c r="Z13" t="s">
        <v>26</v>
      </c>
    </row>
    <row r="14" spans="1:26" x14ac:dyDescent="0.3">
      <c r="A14">
        <v>10</v>
      </c>
      <c r="B14">
        <f t="shared" ref="B14:B52" si="0">MAX(A14-$B$6,0)</f>
        <v>0</v>
      </c>
      <c r="C14">
        <f t="shared" ref="C14:C52" si="1">(LN(A14/$B$6)+$B$7*$B$8)/($B$9*$B$8^0.5)+0.5*$B$9*$B$8^0.5</f>
        <v>-3.1119577562106899</v>
      </c>
      <c r="D14">
        <f t="shared" ref="D14:D52" si="2">C14-$B$9*$B$8^0.5</f>
        <v>-3.707313526444493</v>
      </c>
      <c r="E14" s="6">
        <f t="shared" ref="E14:E52" si="3">NORMDIST(C14,0,1,TRUE)</f>
        <v>9.2925545806459269E-4</v>
      </c>
      <c r="F14" s="5">
        <f t="shared" ref="F14:F52" si="4">NORMDIST(D14,0,1,TRUE)</f>
        <v>1.0473477522425491E-4</v>
      </c>
      <c r="G14" s="4">
        <f t="shared" ref="G14:G52" si="5">A14*E14-$B$6*EXP(-$B$7*$B$8)*F14</f>
        <v>1.3183869428408952E-3</v>
      </c>
      <c r="H14">
        <f t="shared" ref="H14:H52" si="6">MAX($B$6-A14,0)</f>
        <v>71</v>
      </c>
      <c r="I14">
        <f t="shared" ref="I14:I52" si="7">-C14</f>
        <v>3.1119577562106899</v>
      </c>
      <c r="J14">
        <f t="shared" ref="J14:J52" si="8">-D14</f>
        <v>3.707313526444493</v>
      </c>
      <c r="K14">
        <f t="shared" ref="K14:K52" si="9">_xlfn.NORM.DIST(I14,0,1,TRUE)</f>
        <v>0.99907074454193545</v>
      </c>
      <c r="L14">
        <f t="shared" ref="L14:L52" si="10">_xlfn.NORM.DIST(J14,0,1,TRUE)</f>
        <v>0.99989526522477579</v>
      </c>
      <c r="M14">
        <f t="shared" ref="M14:M52" si="11">-A14*K14+$B$6*EXP(-$B$7*$B$8)*L14</f>
        <v>66.138089776684097</v>
      </c>
      <c r="N14">
        <f t="shared" ref="N14:N52" si="12">G14+$B$6*EXP(-$B$7*$B$8)-A14</f>
        <v>66.138089776684097</v>
      </c>
    </row>
    <row r="15" spans="1:26" x14ac:dyDescent="0.3">
      <c r="A15">
        <v>15</v>
      </c>
      <c r="B15">
        <f t="shared" si="0"/>
        <v>0</v>
      </c>
      <c r="C15">
        <f t="shared" si="1"/>
        <v>-2.4309110134388288</v>
      </c>
      <c r="D15">
        <f t="shared" si="2"/>
        <v>-3.0262667836726318</v>
      </c>
      <c r="E15" s="6">
        <f t="shared" si="3"/>
        <v>7.5304565195884075E-3</v>
      </c>
      <c r="F15" s="5">
        <f t="shared" si="4"/>
        <v>1.2379686980141804E-3</v>
      </c>
      <c r="G15" s="4">
        <f t="shared" si="5"/>
        <v>1.870190804546483E-2</v>
      </c>
      <c r="H15">
        <f t="shared" si="6"/>
        <v>66</v>
      </c>
      <c r="I15">
        <f t="shared" si="7"/>
        <v>2.4309110134388288</v>
      </c>
      <c r="J15">
        <f t="shared" si="8"/>
        <v>3.0262667836726318</v>
      </c>
      <c r="K15">
        <f t="shared" si="9"/>
        <v>0.99246954348041161</v>
      </c>
      <c r="L15">
        <f t="shared" si="10"/>
        <v>0.99876203130198582</v>
      </c>
      <c r="M15">
        <f t="shared" si="11"/>
        <v>61.155473297786713</v>
      </c>
      <c r="N15">
        <f t="shared" si="12"/>
        <v>61.155473297786727</v>
      </c>
    </row>
    <row r="16" spans="1:26" x14ac:dyDescent="0.3">
      <c r="A16">
        <v>20</v>
      </c>
      <c r="B16">
        <f t="shared" si="0"/>
        <v>0</v>
      </c>
      <c r="C16">
        <f t="shared" si="1"/>
        <v>-1.9477006595040625</v>
      </c>
      <c r="D16">
        <f t="shared" si="2"/>
        <v>-2.5430564297378657</v>
      </c>
      <c r="E16" s="6">
        <f t="shared" si="3"/>
        <v>2.5725395579486988E-2</v>
      </c>
      <c r="F16" s="5">
        <f t="shared" si="4"/>
        <v>5.4943740369421401E-3</v>
      </c>
      <c r="G16" s="4">
        <f t="shared" si="5"/>
        <v>9.6184011609346254E-2</v>
      </c>
      <c r="H16">
        <f t="shared" si="6"/>
        <v>61</v>
      </c>
      <c r="I16">
        <f t="shared" si="7"/>
        <v>1.9477006595040625</v>
      </c>
      <c r="J16">
        <f t="shared" si="8"/>
        <v>2.5430564297378657</v>
      </c>
      <c r="K16">
        <f t="shared" si="9"/>
        <v>0.97427460442051306</v>
      </c>
      <c r="L16">
        <f t="shared" si="10"/>
        <v>0.9945056259630578</v>
      </c>
      <c r="M16">
        <f t="shared" si="11"/>
        <v>56.232955401350601</v>
      </c>
      <c r="N16">
        <f t="shared" si="12"/>
        <v>56.232955401350608</v>
      </c>
    </row>
    <row r="17" spans="1:26" x14ac:dyDescent="0.3">
      <c r="A17">
        <v>25</v>
      </c>
      <c r="B17">
        <f t="shared" si="0"/>
        <v>0</v>
      </c>
      <c r="C17">
        <f t="shared" si="1"/>
        <v>-1.5728935904022066</v>
      </c>
      <c r="D17">
        <f t="shared" si="2"/>
        <v>-2.1682493606360094</v>
      </c>
      <c r="E17" s="6">
        <f t="shared" si="3"/>
        <v>5.7871729752932685E-2</v>
      </c>
      <c r="F17" s="5">
        <f t="shared" si="4"/>
        <v>1.506985952338295E-2</v>
      </c>
      <c r="G17" s="4">
        <f t="shared" si="5"/>
        <v>0.2994227944159944</v>
      </c>
      <c r="H17">
        <f t="shared" si="6"/>
        <v>56</v>
      </c>
      <c r="I17">
        <f t="shared" si="7"/>
        <v>1.5728935904022066</v>
      </c>
      <c r="J17">
        <f t="shared" si="8"/>
        <v>2.1682493606360094</v>
      </c>
      <c r="K17">
        <f t="shared" si="9"/>
        <v>0.94212827024706736</v>
      </c>
      <c r="L17">
        <f t="shared" si="10"/>
        <v>0.98493014047661709</v>
      </c>
      <c r="M17">
        <f t="shared" si="11"/>
        <v>51.436194184157252</v>
      </c>
      <c r="N17">
        <f t="shared" si="12"/>
        <v>51.436194184157245</v>
      </c>
    </row>
    <row r="18" spans="1:26" x14ac:dyDescent="0.3">
      <c r="A18">
        <v>30</v>
      </c>
      <c r="B18">
        <f t="shared" si="0"/>
        <v>0</v>
      </c>
      <c r="C18">
        <f t="shared" si="1"/>
        <v>-1.2666539167322011</v>
      </c>
      <c r="D18">
        <f t="shared" si="2"/>
        <v>-1.8620096869660041</v>
      </c>
      <c r="E18" s="6">
        <f t="shared" si="3"/>
        <v>0.10263953228363912</v>
      </c>
      <c r="F18" s="5">
        <f t="shared" si="4"/>
        <v>3.130086240831885E-2</v>
      </c>
      <c r="G18" s="4">
        <f t="shared" si="5"/>
        <v>0.69603936302525549</v>
      </c>
      <c r="H18">
        <f t="shared" si="6"/>
        <v>51</v>
      </c>
      <c r="I18">
        <f t="shared" si="7"/>
        <v>1.2666539167322011</v>
      </c>
      <c r="J18">
        <f t="shared" si="8"/>
        <v>1.8620096869660041</v>
      </c>
      <c r="K18">
        <f t="shared" si="9"/>
        <v>0.89736046771636091</v>
      </c>
      <c r="L18">
        <f t="shared" si="10"/>
        <v>0.96869913759168114</v>
      </c>
      <c r="M18">
        <f t="shared" si="11"/>
        <v>46.832810752766513</v>
      </c>
      <c r="N18">
        <f t="shared" si="12"/>
        <v>46.832810752766505</v>
      </c>
    </row>
    <row r="19" spans="1:26" x14ac:dyDescent="0.3">
      <c r="A19">
        <v>35</v>
      </c>
      <c r="B19">
        <f t="shared" si="0"/>
        <v>0</v>
      </c>
      <c r="C19">
        <f t="shared" si="1"/>
        <v>-1.0077319619374714</v>
      </c>
      <c r="D19">
        <f t="shared" si="2"/>
        <v>-1.6030877321712744</v>
      </c>
      <c r="E19" s="6">
        <f t="shared" si="3"/>
        <v>0.15679157832392904</v>
      </c>
      <c r="F19" s="5">
        <f t="shared" si="4"/>
        <v>5.4457643043937118E-2</v>
      </c>
      <c r="G19" s="4">
        <f t="shared" si="5"/>
        <v>1.3414761224771432</v>
      </c>
      <c r="H19">
        <f t="shared" si="6"/>
        <v>46</v>
      </c>
      <c r="I19">
        <f t="shared" si="7"/>
        <v>1.0077319619374714</v>
      </c>
      <c r="J19">
        <f t="shared" si="8"/>
        <v>1.6030877321712744</v>
      </c>
      <c r="K19">
        <f t="shared" si="9"/>
        <v>0.84320842167607091</v>
      </c>
      <c r="L19">
        <f t="shared" si="10"/>
        <v>0.94554235695606292</v>
      </c>
      <c r="M19">
        <f t="shared" si="11"/>
        <v>42.478247512218402</v>
      </c>
      <c r="N19">
        <f t="shared" si="12"/>
        <v>42.478247512218402</v>
      </c>
    </row>
    <row r="20" spans="1:26" x14ac:dyDescent="0.3">
      <c r="A20">
        <v>40</v>
      </c>
      <c r="B20">
        <f t="shared" si="0"/>
        <v>0</v>
      </c>
      <c r="C20">
        <f t="shared" si="1"/>
        <v>-0.78344356279743543</v>
      </c>
      <c r="D20">
        <f t="shared" si="2"/>
        <v>-1.3787993330312385</v>
      </c>
      <c r="E20" s="6">
        <f t="shared" si="3"/>
        <v>0.21668334157843983</v>
      </c>
      <c r="F20" s="5">
        <f t="shared" si="4"/>
        <v>8.3978316211073684E-2</v>
      </c>
      <c r="G20" s="4">
        <f t="shared" si="5"/>
        <v>2.273495800079675</v>
      </c>
      <c r="H20">
        <f t="shared" si="6"/>
        <v>41</v>
      </c>
      <c r="I20">
        <f t="shared" si="7"/>
        <v>0.78344356279743543</v>
      </c>
      <c r="J20">
        <f t="shared" si="8"/>
        <v>1.3787993330312385</v>
      </c>
      <c r="K20">
        <f t="shared" si="9"/>
        <v>0.78331665842156017</v>
      </c>
      <c r="L20">
        <f t="shared" si="10"/>
        <v>0.91602168378892634</v>
      </c>
      <c r="M20">
        <f t="shared" si="11"/>
        <v>38.410267189820942</v>
      </c>
      <c r="N20">
        <f t="shared" si="12"/>
        <v>38.410267189820928</v>
      </c>
    </row>
    <row r="21" spans="1:26" x14ac:dyDescent="0.3">
      <c r="A21">
        <v>45</v>
      </c>
      <c r="B21">
        <f t="shared" si="0"/>
        <v>0</v>
      </c>
      <c r="C21">
        <f t="shared" si="1"/>
        <v>-0.58560717396033912</v>
      </c>
      <c r="D21">
        <f t="shared" si="2"/>
        <v>-1.1809629441941421</v>
      </c>
      <c r="E21" s="6">
        <f t="shared" si="3"/>
        <v>0.27906976316138576</v>
      </c>
      <c r="F21" s="5">
        <f t="shared" si="4"/>
        <v>0.11880872215222139</v>
      </c>
      <c r="G21" s="4">
        <f t="shared" si="5"/>
        <v>3.5124268246513921</v>
      </c>
      <c r="H21">
        <f t="shared" si="6"/>
        <v>36</v>
      </c>
      <c r="I21">
        <f t="shared" si="7"/>
        <v>0.58560717396033912</v>
      </c>
      <c r="J21">
        <f t="shared" si="8"/>
        <v>1.1809629441941421</v>
      </c>
      <c r="K21">
        <f t="shared" si="9"/>
        <v>0.72093023683861424</v>
      </c>
      <c r="L21">
        <f t="shared" si="10"/>
        <v>0.88119127784777862</v>
      </c>
      <c r="M21">
        <f t="shared" si="11"/>
        <v>34.649198214392648</v>
      </c>
      <c r="N21">
        <f t="shared" si="12"/>
        <v>34.649198214392641</v>
      </c>
      <c r="Z21" t="s">
        <v>24</v>
      </c>
    </row>
    <row r="22" spans="1:26" x14ac:dyDescent="0.3">
      <c r="A22">
        <v>50</v>
      </c>
      <c r="B22">
        <f t="shared" si="0"/>
        <v>0</v>
      </c>
      <c r="C22">
        <f t="shared" si="1"/>
        <v>-0.40863649369557942</v>
      </c>
      <c r="D22">
        <f t="shared" si="2"/>
        <v>-1.0039922639293826</v>
      </c>
      <c r="E22" s="6">
        <f t="shared" si="3"/>
        <v>0.34140322254232103</v>
      </c>
      <c r="F22" s="5">
        <f t="shared" si="4"/>
        <v>0.15769117121630086</v>
      </c>
      <c r="G22" s="4">
        <f t="shared" si="5"/>
        <v>5.0640644740400074</v>
      </c>
      <c r="H22">
        <f t="shared" si="6"/>
        <v>31</v>
      </c>
      <c r="I22">
        <f t="shared" si="7"/>
        <v>0.40863649369557942</v>
      </c>
      <c r="J22">
        <f t="shared" si="8"/>
        <v>1.0039922639293826</v>
      </c>
      <c r="K22">
        <f t="shared" si="9"/>
        <v>0.65859677745767897</v>
      </c>
      <c r="L22">
        <f t="shared" si="10"/>
        <v>0.84230882878369917</v>
      </c>
      <c r="M22">
        <f t="shared" si="11"/>
        <v>31.200835863781265</v>
      </c>
      <c r="N22">
        <f t="shared" si="12"/>
        <v>31.200835863781265</v>
      </c>
      <c r="Y22" t="s">
        <v>31</v>
      </c>
      <c r="Z22" t="s">
        <v>29</v>
      </c>
    </row>
    <row r="23" spans="1:26" x14ac:dyDescent="0.3">
      <c r="A23">
        <v>55</v>
      </c>
      <c r="B23">
        <f t="shared" si="0"/>
        <v>0</v>
      </c>
      <c r="C23">
        <f t="shared" si="1"/>
        <v>-0.24854704034754926</v>
      </c>
      <c r="D23">
        <f t="shared" si="2"/>
        <v>-0.8439028105813523</v>
      </c>
      <c r="E23" s="6">
        <f t="shared" si="3"/>
        <v>0.40185558934079257</v>
      </c>
      <c r="F23" s="5">
        <f t="shared" si="4"/>
        <v>0.19936185875611476</v>
      </c>
      <c r="G23" s="4">
        <f t="shared" si="5"/>
        <v>6.9232891497953961</v>
      </c>
      <c r="H23">
        <f t="shared" si="6"/>
        <v>26</v>
      </c>
      <c r="I23">
        <f t="shared" si="7"/>
        <v>0.24854704034754926</v>
      </c>
      <c r="J23">
        <f t="shared" si="8"/>
        <v>0.8439028105813523</v>
      </c>
      <c r="K23">
        <f t="shared" si="9"/>
        <v>0.59814441065920743</v>
      </c>
      <c r="L23">
        <f t="shared" si="10"/>
        <v>0.80063814124388522</v>
      </c>
      <c r="M23">
        <f t="shared" si="11"/>
        <v>28.06006053953665</v>
      </c>
      <c r="N23">
        <f t="shared" si="12"/>
        <v>28.06006053953665</v>
      </c>
      <c r="Y23" t="s">
        <v>32</v>
      </c>
      <c r="Z23" t="s">
        <v>29</v>
      </c>
    </row>
    <row r="24" spans="1:26" x14ac:dyDescent="0.3">
      <c r="A24">
        <v>60</v>
      </c>
      <c r="B24">
        <f t="shared" si="0"/>
        <v>0</v>
      </c>
      <c r="C24">
        <f t="shared" si="1"/>
        <v>-0.10239682002557388</v>
      </c>
      <c r="D24">
        <f t="shared" si="2"/>
        <v>-0.69775259025937686</v>
      </c>
      <c r="E24" s="6">
        <f t="shared" si="3"/>
        <v>0.45922085382923278</v>
      </c>
      <c r="F24" s="5">
        <f t="shared" si="4"/>
        <v>0.24266596645438593</v>
      </c>
      <c r="G24" s="4">
        <f t="shared" si="5"/>
        <v>9.0774480177457662</v>
      </c>
      <c r="H24">
        <f t="shared" si="6"/>
        <v>21</v>
      </c>
      <c r="I24">
        <f t="shared" si="7"/>
        <v>0.10239682002557388</v>
      </c>
      <c r="J24">
        <f t="shared" si="8"/>
        <v>0.69775259025937686</v>
      </c>
      <c r="K24">
        <f t="shared" si="9"/>
        <v>0.54077914617076717</v>
      </c>
      <c r="L24">
        <f t="shared" si="10"/>
        <v>0.75733403354561402</v>
      </c>
      <c r="M24">
        <f t="shared" si="11"/>
        <v>25.214219407487015</v>
      </c>
      <c r="N24">
        <f t="shared" si="12"/>
        <v>25.214219407487022</v>
      </c>
      <c r="Y24" t="s">
        <v>30</v>
      </c>
      <c r="Z24" t="s">
        <v>29</v>
      </c>
    </row>
    <row r="25" spans="1:26" x14ac:dyDescent="0.3">
      <c r="A25">
        <v>65</v>
      </c>
      <c r="B25">
        <f t="shared" si="0"/>
        <v>0</v>
      </c>
      <c r="C25">
        <f t="shared" si="1"/>
        <v>3.2048349863520897E-2</v>
      </c>
      <c r="D25">
        <f t="shared" si="2"/>
        <v>-0.56330742037028214</v>
      </c>
      <c r="E25" s="6">
        <f t="shared" si="3"/>
        <v>0.5127832534672363</v>
      </c>
      <c r="F25" s="5">
        <f t="shared" si="4"/>
        <v>0.28661278306832166</v>
      </c>
      <c r="G25" s="4">
        <f t="shared" si="5"/>
        <v>11.509139533520045</v>
      </c>
      <c r="H25">
        <f t="shared" si="6"/>
        <v>16</v>
      </c>
      <c r="I25">
        <f t="shared" si="7"/>
        <v>-3.2048349863520897E-2</v>
      </c>
      <c r="J25">
        <f t="shared" si="8"/>
        <v>0.56330742037028214</v>
      </c>
      <c r="K25">
        <f t="shared" si="9"/>
        <v>0.4872167465327637</v>
      </c>
      <c r="L25">
        <f t="shared" si="10"/>
        <v>0.71338721693167839</v>
      </c>
      <c r="M25">
        <f t="shared" si="11"/>
        <v>22.645910923261308</v>
      </c>
      <c r="N25">
        <f t="shared" si="12"/>
        <v>22.645910923261297</v>
      </c>
      <c r="Y25" t="s">
        <v>27</v>
      </c>
      <c r="Z25" t="s">
        <v>26</v>
      </c>
    </row>
    <row r="26" spans="1:26" x14ac:dyDescent="0.3">
      <c r="A26">
        <v>70</v>
      </c>
      <c r="B26">
        <f t="shared" si="0"/>
        <v>0</v>
      </c>
      <c r="C26">
        <f t="shared" si="1"/>
        <v>0.156525134769156</v>
      </c>
      <c r="D26">
        <f t="shared" si="2"/>
        <v>-0.43883063546464707</v>
      </c>
      <c r="E26" s="6">
        <f t="shared" si="3"/>
        <v>0.56219044563421017</v>
      </c>
      <c r="F26" s="5">
        <f t="shared" si="4"/>
        <v>0.33039213021262315</v>
      </c>
      <c r="G26" s="4">
        <f t="shared" si="5"/>
        <v>14.1983411074266</v>
      </c>
      <c r="H26">
        <f t="shared" si="6"/>
        <v>11</v>
      </c>
      <c r="I26">
        <f t="shared" si="7"/>
        <v>-0.156525134769156</v>
      </c>
      <c r="J26">
        <f t="shared" si="8"/>
        <v>0.43883063546464707</v>
      </c>
      <c r="K26">
        <f t="shared" si="9"/>
        <v>0.43780955436578989</v>
      </c>
      <c r="L26">
        <f t="shared" si="10"/>
        <v>0.66960786978737685</v>
      </c>
      <c r="M26">
        <f t="shared" si="11"/>
        <v>20.335112497167852</v>
      </c>
      <c r="N26">
        <f t="shared" si="12"/>
        <v>20.335112497167856</v>
      </c>
      <c r="Y26" t="s">
        <v>28</v>
      </c>
      <c r="Z26" t="s">
        <v>26</v>
      </c>
    </row>
    <row r="27" spans="1:26" x14ac:dyDescent="0.3">
      <c r="A27">
        <v>75</v>
      </c>
      <c r="B27">
        <f t="shared" si="0"/>
        <v>0</v>
      </c>
      <c r="C27">
        <f t="shared" si="1"/>
        <v>0.27241024907628231</v>
      </c>
      <c r="D27">
        <f t="shared" si="2"/>
        <v>-0.32294552115752073</v>
      </c>
      <c r="E27" s="6">
        <f t="shared" si="3"/>
        <v>0.60734670351647813</v>
      </c>
      <c r="F27" s="5">
        <f t="shared" si="4"/>
        <v>0.37336825045129624</v>
      </c>
      <c r="G27" s="4">
        <f t="shared" si="5"/>
        <v>17.123949634937858</v>
      </c>
      <c r="H27">
        <f t="shared" si="6"/>
        <v>6</v>
      </c>
      <c r="I27">
        <f t="shared" si="7"/>
        <v>-0.27241024907628231</v>
      </c>
      <c r="J27">
        <f t="shared" si="8"/>
        <v>0.32294552115752073</v>
      </c>
      <c r="K27">
        <f t="shared" si="9"/>
        <v>0.39265329648352187</v>
      </c>
      <c r="L27">
        <f t="shared" si="10"/>
        <v>0.62663174954870371</v>
      </c>
      <c r="M27">
        <f t="shared" si="11"/>
        <v>18.260721024679114</v>
      </c>
      <c r="N27">
        <f t="shared" si="12"/>
        <v>18.260721024679114</v>
      </c>
    </row>
    <row r="28" spans="1:26" x14ac:dyDescent="0.3">
      <c r="A28">
        <v>80</v>
      </c>
      <c r="B28">
        <f t="shared" si="0"/>
        <v>0</v>
      </c>
      <c r="C28">
        <f t="shared" si="1"/>
        <v>0.3808135339091917</v>
      </c>
      <c r="D28">
        <f t="shared" si="2"/>
        <v>-0.21454223632461134</v>
      </c>
      <c r="E28" s="6">
        <f t="shared" si="3"/>
        <v>0.64832919198979</v>
      </c>
      <c r="F28" s="5">
        <f t="shared" si="4"/>
        <v>0.41506211690875394</v>
      </c>
      <c r="G28" s="4">
        <f t="shared" si="5"/>
        <v>20.26484585155934</v>
      </c>
      <c r="H28">
        <f t="shared" si="6"/>
        <v>1</v>
      </c>
      <c r="I28">
        <f t="shared" si="7"/>
        <v>-0.3808135339091917</v>
      </c>
      <c r="J28">
        <f t="shared" si="8"/>
        <v>0.21454223632461134</v>
      </c>
      <c r="K28">
        <f t="shared" si="9"/>
        <v>0.35167080801021</v>
      </c>
      <c r="L28">
        <f t="shared" si="10"/>
        <v>0.58493788309124606</v>
      </c>
      <c r="M28">
        <f t="shared" si="11"/>
        <v>16.401617241300595</v>
      </c>
      <c r="N28">
        <f t="shared" si="12"/>
        <v>16.401617241300599</v>
      </c>
    </row>
    <row r="29" spans="1:26" x14ac:dyDescent="0.3">
      <c r="A29">
        <v>85</v>
      </c>
      <c r="B29">
        <f t="shared" si="0"/>
        <v>4</v>
      </c>
      <c r="C29">
        <f t="shared" si="1"/>
        <v>0.4826427675330246</v>
      </c>
      <c r="D29">
        <f t="shared" si="2"/>
        <v>-0.11271300270077844</v>
      </c>
      <c r="E29" s="6">
        <f t="shared" si="3"/>
        <v>0.68532529651808882</v>
      </c>
      <c r="F29" s="5">
        <f t="shared" si="4"/>
        <v>0.45512904614042826</v>
      </c>
      <c r="G29" s="4">
        <f t="shared" si="5"/>
        <v>23.600594065212761</v>
      </c>
      <c r="H29">
        <f t="shared" si="6"/>
        <v>0</v>
      </c>
      <c r="I29">
        <f t="shared" si="7"/>
        <v>-0.4826427675330246</v>
      </c>
      <c r="J29">
        <f t="shared" si="8"/>
        <v>0.11271300270077844</v>
      </c>
      <c r="K29">
        <f t="shared" si="9"/>
        <v>0.31467470348191118</v>
      </c>
      <c r="L29">
        <f t="shared" si="10"/>
        <v>0.54487095385957174</v>
      </c>
      <c r="M29">
        <f t="shared" si="11"/>
        <v>14.737365454954016</v>
      </c>
      <c r="N29">
        <f t="shared" si="12"/>
        <v>14.737365454954016</v>
      </c>
    </row>
    <row r="30" spans="1:26" x14ac:dyDescent="0.3">
      <c r="A30">
        <v>90</v>
      </c>
      <c r="B30">
        <f t="shared" si="0"/>
        <v>9</v>
      </c>
      <c r="C30">
        <f t="shared" si="1"/>
        <v>0.5786499227462879</v>
      </c>
      <c r="D30">
        <f t="shared" si="2"/>
        <v>-1.6705847487515135E-2</v>
      </c>
      <c r="E30" s="6">
        <f t="shared" si="3"/>
        <v>0.71858729399228727</v>
      </c>
      <c r="F30" s="5">
        <f t="shared" si="4"/>
        <v>0.4933356410962127</v>
      </c>
      <c r="G30" s="4">
        <f t="shared" si="5"/>
        <v>27.111873534752064</v>
      </c>
      <c r="H30">
        <f t="shared" si="6"/>
        <v>0</v>
      </c>
      <c r="I30">
        <f t="shared" si="7"/>
        <v>-0.5786499227462879</v>
      </c>
      <c r="J30">
        <f t="shared" si="8"/>
        <v>1.6705847487515135E-2</v>
      </c>
      <c r="K30">
        <f t="shared" si="9"/>
        <v>0.28141270600771268</v>
      </c>
      <c r="L30">
        <f t="shared" si="10"/>
        <v>0.50666435890378736</v>
      </c>
      <c r="M30">
        <f t="shared" si="11"/>
        <v>13.24864492449333</v>
      </c>
      <c r="N30">
        <f t="shared" si="12"/>
        <v>13.24864492449332</v>
      </c>
    </row>
    <row r="31" spans="1:26" x14ac:dyDescent="0.3">
      <c r="A31">
        <v>95</v>
      </c>
      <c r="B31">
        <f t="shared" si="0"/>
        <v>14</v>
      </c>
      <c r="C31">
        <f t="shared" si="1"/>
        <v>0.66946490090471411</v>
      </c>
      <c r="D31">
        <f t="shared" si="2"/>
        <v>7.4109130670911072E-2</v>
      </c>
      <c r="E31" s="6">
        <f t="shared" si="3"/>
        <v>0.74840051838119237</v>
      </c>
      <c r="F31" s="5">
        <f t="shared" si="4"/>
        <v>0.52953822499139525</v>
      </c>
      <c r="G31" s="4">
        <f t="shared" si="5"/>
        <v>30.780718467914049</v>
      </c>
      <c r="H31">
        <f t="shared" si="6"/>
        <v>0</v>
      </c>
      <c r="I31">
        <f t="shared" si="7"/>
        <v>-0.66946490090471411</v>
      </c>
      <c r="J31">
        <f t="shared" si="8"/>
        <v>-7.4109130670911072E-2</v>
      </c>
      <c r="K31">
        <f t="shared" si="9"/>
        <v>0.25159948161880769</v>
      </c>
      <c r="L31">
        <f t="shared" si="10"/>
        <v>0.47046177500860475</v>
      </c>
      <c r="M31">
        <f t="shared" si="11"/>
        <v>11.917489857655298</v>
      </c>
      <c r="N31">
        <f t="shared" si="12"/>
        <v>11.917489857655312</v>
      </c>
    </row>
    <row r="32" spans="1:26" x14ac:dyDescent="0.3">
      <c r="A32">
        <v>100</v>
      </c>
      <c r="B32">
        <f t="shared" si="0"/>
        <v>19</v>
      </c>
      <c r="C32">
        <f t="shared" si="1"/>
        <v>0.75562060301104772</v>
      </c>
      <c r="D32">
        <f t="shared" si="2"/>
        <v>0.16026483277724468</v>
      </c>
      <c r="E32" s="6">
        <f t="shared" si="3"/>
        <v>0.77506165022269147</v>
      </c>
      <c r="F32" s="5">
        <f t="shared" si="4"/>
        <v>0.56366376993234701</v>
      </c>
      <c r="G32" s="4">
        <f t="shared" si="5"/>
        <v>34.590625430250327</v>
      </c>
      <c r="H32">
        <f t="shared" si="6"/>
        <v>0</v>
      </c>
      <c r="I32">
        <f t="shared" si="7"/>
        <v>-0.75562060301104772</v>
      </c>
      <c r="J32">
        <f t="shared" si="8"/>
        <v>-0.16026483277724468</v>
      </c>
      <c r="K32">
        <f t="shared" si="9"/>
        <v>0.22493834977730859</v>
      </c>
      <c r="L32">
        <f t="shared" si="10"/>
        <v>0.43633623006765293</v>
      </c>
      <c r="M32">
        <f t="shared" si="11"/>
        <v>10.727396819991579</v>
      </c>
      <c r="N32">
        <f t="shared" si="12"/>
        <v>10.727396819991583</v>
      </c>
    </row>
    <row r="33" spans="1:14" x14ac:dyDescent="0.3">
      <c r="A33">
        <v>105</v>
      </c>
      <c r="B33">
        <f t="shared" si="0"/>
        <v>24</v>
      </c>
      <c r="C33">
        <f t="shared" si="1"/>
        <v>0.8375718775410177</v>
      </c>
      <c r="D33">
        <f t="shared" si="2"/>
        <v>0.24221610730721466</v>
      </c>
      <c r="E33" s="6">
        <f t="shared" si="3"/>
        <v>0.79886440363899047</v>
      </c>
      <c r="F33" s="5">
        <f t="shared" si="4"/>
        <v>0.59569364261229185</v>
      </c>
      <c r="G33" s="4">
        <f t="shared" si="5"/>
        <v>38.52657169619971</v>
      </c>
      <c r="H33">
        <f t="shared" si="6"/>
        <v>0</v>
      </c>
      <c r="I33">
        <f t="shared" si="7"/>
        <v>-0.8375718775410177</v>
      </c>
      <c r="J33">
        <f t="shared" si="8"/>
        <v>-0.24221610730721466</v>
      </c>
      <c r="K33">
        <f t="shared" si="9"/>
        <v>0.20113559636100953</v>
      </c>
      <c r="L33">
        <f t="shared" si="10"/>
        <v>0.40430635738770815</v>
      </c>
      <c r="M33">
        <f t="shared" si="11"/>
        <v>9.6633430859409586</v>
      </c>
      <c r="N33">
        <f t="shared" si="12"/>
        <v>9.6633430859409657</v>
      </c>
    </row>
    <row r="34" spans="1:14" x14ac:dyDescent="0.3">
      <c r="A34">
        <v>110</v>
      </c>
      <c r="B34">
        <f t="shared" si="0"/>
        <v>29</v>
      </c>
      <c r="C34">
        <f t="shared" si="1"/>
        <v>0.91571005635907787</v>
      </c>
      <c r="D34">
        <f t="shared" si="2"/>
        <v>0.32035428612527483</v>
      </c>
      <c r="E34" s="6">
        <f t="shared" si="3"/>
        <v>0.82009050545260687</v>
      </c>
      <c r="F34" s="5">
        <f t="shared" si="4"/>
        <v>0.62565011236520574</v>
      </c>
      <c r="G34" s="4">
        <f t="shared" si="5"/>
        <v>42.574976024671152</v>
      </c>
      <c r="H34">
        <f t="shared" si="6"/>
        <v>0</v>
      </c>
      <c r="I34">
        <f t="shared" si="7"/>
        <v>-0.91571005635907787</v>
      </c>
      <c r="J34">
        <f t="shared" si="8"/>
        <v>-0.32035428612527483</v>
      </c>
      <c r="K34">
        <f t="shared" si="9"/>
        <v>0.17990949454739319</v>
      </c>
      <c r="L34">
        <f t="shared" si="10"/>
        <v>0.37434988763479426</v>
      </c>
      <c r="M34">
        <f t="shared" si="11"/>
        <v>8.7117474144124074</v>
      </c>
      <c r="N34">
        <f t="shared" si="12"/>
        <v>8.7117474144124003</v>
      </c>
    </row>
    <row r="35" spans="1:14" x14ac:dyDescent="0.3">
      <c r="A35">
        <v>115</v>
      </c>
      <c r="B35">
        <f t="shared" si="0"/>
        <v>34</v>
      </c>
      <c r="C35">
        <f t="shared" si="1"/>
        <v>0.99037425681417246</v>
      </c>
      <c r="D35">
        <f t="shared" si="2"/>
        <v>0.39501848658036942</v>
      </c>
      <c r="E35" s="6">
        <f t="shared" si="3"/>
        <v>0.83900438829877477</v>
      </c>
      <c r="F35" s="5">
        <f t="shared" si="4"/>
        <v>0.65358537758881374</v>
      </c>
      <c r="G35" s="4">
        <f t="shared" si="5"/>
        <v>46.723624177201877</v>
      </c>
      <c r="H35">
        <f t="shared" si="6"/>
        <v>0</v>
      </c>
      <c r="I35">
        <f t="shared" si="7"/>
        <v>-0.99037425681417246</v>
      </c>
      <c r="J35">
        <f t="shared" si="8"/>
        <v>-0.39501848658036942</v>
      </c>
      <c r="K35">
        <f t="shared" si="9"/>
        <v>0.16099561170122526</v>
      </c>
      <c r="L35">
        <f t="shared" si="10"/>
        <v>0.34641462241118626</v>
      </c>
      <c r="M35">
        <f t="shared" si="11"/>
        <v>7.8603955669431222</v>
      </c>
      <c r="N35">
        <f t="shared" si="12"/>
        <v>7.86039556694314</v>
      </c>
    </row>
    <row r="36" spans="1:14" x14ac:dyDescent="0.3">
      <c r="A36">
        <v>120</v>
      </c>
      <c r="B36">
        <f t="shared" si="0"/>
        <v>39</v>
      </c>
      <c r="C36">
        <f t="shared" si="1"/>
        <v>1.0618602766810534</v>
      </c>
      <c r="D36">
        <f t="shared" si="2"/>
        <v>0.46650450644725039</v>
      </c>
      <c r="E36" s="6">
        <f t="shared" si="3"/>
        <v>0.8558504396097073</v>
      </c>
      <c r="F36" s="5">
        <f t="shared" si="4"/>
        <v>0.67957278866429272</v>
      </c>
      <c r="G36" s="4">
        <f t="shared" si="5"/>
        <v>50.961574699942673</v>
      </c>
      <c r="H36">
        <f t="shared" si="6"/>
        <v>0</v>
      </c>
      <c r="I36">
        <f t="shared" si="7"/>
        <v>-1.0618602766810534</v>
      </c>
      <c r="J36">
        <f t="shared" si="8"/>
        <v>-0.46650450644725039</v>
      </c>
      <c r="K36">
        <f t="shared" si="9"/>
        <v>0.14414956039029264</v>
      </c>
      <c r="L36">
        <f t="shared" si="10"/>
        <v>0.32042721133570728</v>
      </c>
      <c r="M36">
        <f t="shared" si="11"/>
        <v>7.0983460896839361</v>
      </c>
      <c r="N36">
        <f t="shared" si="12"/>
        <v>7.098346089683929</v>
      </c>
    </row>
    <row r="37" spans="1:14" x14ac:dyDescent="0.3">
      <c r="A37">
        <v>125</v>
      </c>
      <c r="B37">
        <f t="shared" si="0"/>
        <v>44</v>
      </c>
      <c r="C37">
        <f t="shared" si="1"/>
        <v>1.1304276721129038</v>
      </c>
      <c r="D37">
        <f t="shared" si="2"/>
        <v>0.53507190187910081</v>
      </c>
      <c r="E37" s="6">
        <f t="shared" si="3"/>
        <v>0.87085197032347472</v>
      </c>
      <c r="F37" s="5">
        <f t="shared" si="4"/>
        <v>0.70369993066271563</v>
      </c>
      <c r="G37" s="4">
        <f t="shared" si="5"/>
        <v>55.279055542590385</v>
      </c>
      <c r="H37">
        <f t="shared" si="6"/>
        <v>0</v>
      </c>
      <c r="I37">
        <f t="shared" si="7"/>
        <v>-1.1304276721129038</v>
      </c>
      <c r="J37">
        <f t="shared" si="8"/>
        <v>-0.53507190187910081</v>
      </c>
      <c r="K37">
        <f t="shared" si="9"/>
        <v>0.12914802967652531</v>
      </c>
      <c r="L37">
        <f t="shared" si="10"/>
        <v>0.29630006933728437</v>
      </c>
      <c r="M37">
        <f t="shared" si="11"/>
        <v>6.4158269323316404</v>
      </c>
      <c r="N37">
        <f t="shared" si="12"/>
        <v>6.4158269323316404</v>
      </c>
    </row>
    <row r="38" spans="1:14" x14ac:dyDescent="0.3">
      <c r="A38">
        <v>130</v>
      </c>
      <c r="B38">
        <f t="shared" si="0"/>
        <v>49</v>
      </c>
      <c r="C38">
        <f t="shared" si="1"/>
        <v>1.1963054465701481</v>
      </c>
      <c r="D38">
        <f t="shared" si="2"/>
        <v>0.60094967633634511</v>
      </c>
      <c r="E38" s="6">
        <f t="shared" si="3"/>
        <v>0.88421130795576142</v>
      </c>
      <c r="F38" s="5">
        <f t="shared" si="4"/>
        <v>0.72606324758045959</v>
      </c>
      <c r="G38" s="4">
        <f t="shared" si="5"/>
        <v>59.667358538722425</v>
      </c>
      <c r="H38">
        <f t="shared" si="6"/>
        <v>0</v>
      </c>
      <c r="I38">
        <f t="shared" si="7"/>
        <v>-1.1963054465701481</v>
      </c>
      <c r="J38">
        <f t="shared" si="8"/>
        <v>-0.60094967633634511</v>
      </c>
      <c r="K38">
        <f t="shared" si="9"/>
        <v>0.11578869204423858</v>
      </c>
      <c r="L38">
        <f t="shared" si="10"/>
        <v>0.27393675241954041</v>
      </c>
      <c r="M38">
        <f t="shared" si="11"/>
        <v>5.8041299284636807</v>
      </c>
      <c r="N38">
        <f t="shared" si="12"/>
        <v>5.8041299284636807</v>
      </c>
    </row>
    <row r="39" spans="1:14" x14ac:dyDescent="0.3">
      <c r="A39">
        <v>135</v>
      </c>
      <c r="B39">
        <f t="shared" si="0"/>
        <v>54</v>
      </c>
      <c r="C39">
        <f t="shared" si="1"/>
        <v>1.2596966655181494</v>
      </c>
      <c r="D39">
        <f t="shared" si="2"/>
        <v>0.66434089528434637</v>
      </c>
      <c r="E39" s="6">
        <f t="shared" si="3"/>
        <v>0.89611059562921402</v>
      </c>
      <c r="F39" s="5">
        <f t="shared" si="4"/>
        <v>0.74676392380908863</v>
      </c>
      <c r="G39" s="4">
        <f t="shared" si="5"/>
        <v>64.118736260785155</v>
      </c>
      <c r="H39">
        <f t="shared" si="6"/>
        <v>0</v>
      </c>
      <c r="I39">
        <f t="shared" si="7"/>
        <v>-1.2596966655181494</v>
      </c>
      <c r="J39">
        <f t="shared" si="8"/>
        <v>-0.66434089528434637</v>
      </c>
      <c r="K39">
        <f t="shared" si="9"/>
        <v>0.10388940437078595</v>
      </c>
      <c r="L39">
        <f t="shared" si="10"/>
        <v>0.25323607619091132</v>
      </c>
      <c r="M39">
        <f t="shared" si="11"/>
        <v>5.2555076505264093</v>
      </c>
      <c r="N39">
        <f t="shared" si="12"/>
        <v>5.2555076505263969</v>
      </c>
    </row>
    <row r="40" spans="1:14" x14ac:dyDescent="0.3">
      <c r="A40">
        <v>140</v>
      </c>
      <c r="B40">
        <f t="shared" si="0"/>
        <v>59</v>
      </c>
      <c r="C40">
        <f t="shared" si="1"/>
        <v>1.3207822314757833</v>
      </c>
      <c r="D40">
        <f t="shared" si="2"/>
        <v>0.72542646124198029</v>
      </c>
      <c r="E40" s="6">
        <f t="shared" si="3"/>
        <v>0.90671300700828505</v>
      </c>
      <c r="F40" s="5">
        <f t="shared" si="4"/>
        <v>0.76590477777627841</v>
      </c>
      <c r="G40" s="4">
        <f t="shared" si="5"/>
        <v>68.626304009296831</v>
      </c>
      <c r="H40">
        <f t="shared" si="6"/>
        <v>0</v>
      </c>
      <c r="I40">
        <f t="shared" si="7"/>
        <v>-1.3207822314757833</v>
      </c>
      <c r="J40">
        <f t="shared" si="8"/>
        <v>-0.72542646124198029</v>
      </c>
      <c r="K40">
        <f t="shared" si="9"/>
        <v>9.3286992991714959E-2</v>
      </c>
      <c r="L40">
        <f t="shared" si="10"/>
        <v>0.23409522222372153</v>
      </c>
      <c r="M40">
        <f t="shared" si="11"/>
        <v>4.7630753990380708</v>
      </c>
      <c r="N40">
        <f t="shared" si="12"/>
        <v>4.7630753990380867</v>
      </c>
    </row>
    <row r="41" spans="1:14" x14ac:dyDescent="0.3">
      <c r="A41">
        <v>145</v>
      </c>
      <c r="B41">
        <f t="shared" si="0"/>
        <v>64</v>
      </c>
      <c r="C41">
        <f t="shared" si="1"/>
        <v>1.3797239963258818</v>
      </c>
      <c r="D41">
        <f t="shared" si="2"/>
        <v>0.78436822609207879</v>
      </c>
      <c r="E41" s="6">
        <f t="shared" si="3"/>
        <v>0.91616417919976811</v>
      </c>
      <c r="F41" s="5">
        <f t="shared" si="4"/>
        <v>0.7835879615885124</v>
      </c>
      <c r="G41" s="4">
        <f t="shared" si="5"/>
        <v>73.183948488748456</v>
      </c>
      <c r="H41">
        <f t="shared" si="6"/>
        <v>0</v>
      </c>
      <c r="I41">
        <f t="shared" si="7"/>
        <v>-1.3797239963258818</v>
      </c>
      <c r="J41">
        <f t="shared" si="8"/>
        <v>-0.78436822609207879</v>
      </c>
      <c r="K41">
        <f t="shared" si="9"/>
        <v>8.3835820800231844E-2</v>
      </c>
      <c r="L41">
        <f t="shared" si="10"/>
        <v>0.21641203841148765</v>
      </c>
      <c r="M41">
        <f t="shared" si="11"/>
        <v>4.3207198784897205</v>
      </c>
      <c r="N41">
        <f t="shared" si="12"/>
        <v>4.3207198784897116</v>
      </c>
    </row>
    <row r="42" spans="1:14" x14ac:dyDescent="0.3">
      <c r="A42">
        <v>150</v>
      </c>
      <c r="B42">
        <f t="shared" si="0"/>
        <v>69</v>
      </c>
      <c r="C42">
        <f t="shared" si="1"/>
        <v>1.4366673457829096</v>
      </c>
      <c r="D42">
        <f t="shared" si="2"/>
        <v>0.84131157554910652</v>
      </c>
      <c r="E42" s="6">
        <f t="shared" si="3"/>
        <v>0.92459373116144083</v>
      </c>
      <c r="F42" s="5">
        <f t="shared" si="4"/>
        <v>0.79991329624872243</v>
      </c>
      <c r="G42" s="4">
        <f t="shared" si="5"/>
        <v>77.786243906112787</v>
      </c>
      <c r="H42">
        <f t="shared" si="6"/>
        <v>0</v>
      </c>
      <c r="I42">
        <f t="shared" si="7"/>
        <v>-1.4366673457829096</v>
      </c>
      <c r="J42">
        <f t="shared" si="8"/>
        <v>-0.84131157554910652</v>
      </c>
      <c r="K42">
        <f t="shared" si="9"/>
        <v>7.5406268838559151E-2</v>
      </c>
      <c r="L42">
        <f t="shared" si="10"/>
        <v>0.2000867037512776</v>
      </c>
      <c r="M42">
        <f t="shared" si="11"/>
        <v>3.9230152958540341</v>
      </c>
      <c r="N42">
        <f t="shared" si="12"/>
        <v>3.923015295854043</v>
      </c>
    </row>
    <row r="43" spans="1:14" x14ac:dyDescent="0.3">
      <c r="A43">
        <v>155</v>
      </c>
      <c r="B43">
        <f t="shared" si="0"/>
        <v>74</v>
      </c>
      <c r="C43">
        <f t="shared" si="1"/>
        <v>1.4917433599283907</v>
      </c>
      <c r="D43">
        <f t="shared" si="2"/>
        <v>0.89638758969458765</v>
      </c>
      <c r="E43" s="6">
        <f t="shared" si="3"/>
        <v>0.93211678128595898</v>
      </c>
      <c r="F43" s="5">
        <f t="shared" si="4"/>
        <v>0.8149771034285711</v>
      </c>
      <c r="G43" s="4">
        <f t="shared" si="5"/>
        <v>82.428375687709021</v>
      </c>
      <c r="H43">
        <f t="shared" si="6"/>
        <v>0</v>
      </c>
      <c r="I43">
        <f t="shared" si="7"/>
        <v>-1.4917433599283907</v>
      </c>
      <c r="J43">
        <f t="shared" si="8"/>
        <v>-0.89638758969458765</v>
      </c>
      <c r="K43">
        <f t="shared" si="9"/>
        <v>6.7883218714041016E-2</v>
      </c>
      <c r="L43">
        <f t="shared" si="10"/>
        <v>0.18502289657142887</v>
      </c>
      <c r="M43">
        <f t="shared" si="11"/>
        <v>3.5651470774502645</v>
      </c>
      <c r="N43">
        <f t="shared" si="12"/>
        <v>3.5651470774502627</v>
      </c>
    </row>
    <row r="44" spans="1:14" x14ac:dyDescent="0.3">
      <c r="A44">
        <v>160</v>
      </c>
      <c r="B44">
        <f t="shared" si="0"/>
        <v>79</v>
      </c>
      <c r="C44">
        <f t="shared" si="1"/>
        <v>1.5450706306158188</v>
      </c>
      <c r="D44">
        <f t="shared" si="2"/>
        <v>0.9497148603820158</v>
      </c>
      <c r="E44" s="6">
        <f t="shared" si="3"/>
        <v>0.93883540999985649</v>
      </c>
      <c r="F44" s="5">
        <f t="shared" si="4"/>
        <v>0.82887142157762606</v>
      </c>
      <c r="G44" s="4">
        <f t="shared" si="5"/>
        <v>87.106071663831486</v>
      </c>
      <c r="H44">
        <f t="shared" si="6"/>
        <v>0</v>
      </c>
      <c r="I44">
        <f t="shared" si="7"/>
        <v>-1.5450706306158188</v>
      </c>
      <c r="J44">
        <f t="shared" si="8"/>
        <v>-0.9497148603820158</v>
      </c>
      <c r="K44">
        <f t="shared" si="9"/>
        <v>6.1164590000143466E-2</v>
      </c>
      <c r="L44">
        <f t="shared" si="10"/>
        <v>0.17112857842237394</v>
      </c>
      <c r="M44">
        <f t="shared" si="11"/>
        <v>3.2428430535727379</v>
      </c>
      <c r="N44">
        <f t="shared" si="12"/>
        <v>3.2428430535727557</v>
      </c>
    </row>
    <row r="45" spans="1:14" x14ac:dyDescent="0.3">
      <c r="A45">
        <v>165</v>
      </c>
      <c r="B45">
        <f t="shared" si="0"/>
        <v>84</v>
      </c>
      <c r="C45">
        <f t="shared" si="1"/>
        <v>1.5967567991309397</v>
      </c>
      <c r="D45">
        <f t="shared" si="2"/>
        <v>1.0014010288971367</v>
      </c>
      <c r="E45" s="6">
        <f t="shared" si="3"/>
        <v>0.9448400354060762</v>
      </c>
      <c r="F45" s="5">
        <f t="shared" si="4"/>
        <v>0.84168351656594687</v>
      </c>
      <c r="G45" s="4">
        <f t="shared" si="5"/>
        <v>91.815540358707594</v>
      </c>
      <c r="H45">
        <f t="shared" si="6"/>
        <v>0</v>
      </c>
      <c r="I45">
        <f t="shared" si="7"/>
        <v>-1.5967567991309397</v>
      </c>
      <c r="J45">
        <f t="shared" si="8"/>
        <v>-1.0014010288971367</v>
      </c>
      <c r="K45">
        <f t="shared" si="9"/>
        <v>5.5159964593923826E-2</v>
      </c>
      <c r="L45">
        <f t="shared" si="10"/>
        <v>0.15831648343405319</v>
      </c>
      <c r="M45">
        <f t="shared" si="11"/>
        <v>2.9523117484488353</v>
      </c>
      <c r="N45">
        <f t="shared" si="12"/>
        <v>2.9523117484488353</v>
      </c>
    </row>
    <row r="46" spans="1:14" x14ac:dyDescent="0.3">
      <c r="A46">
        <v>170</v>
      </c>
      <c r="B46">
        <f t="shared" si="0"/>
        <v>89</v>
      </c>
      <c r="C46">
        <f t="shared" si="1"/>
        <v>1.646899864239652</v>
      </c>
      <c r="D46">
        <f t="shared" si="2"/>
        <v>1.0515440940058489</v>
      </c>
      <c r="E46" s="6">
        <f t="shared" si="3"/>
        <v>0.95021068508922391</v>
      </c>
      <c r="F46" s="5">
        <f t="shared" si="4"/>
        <v>0.85349561552635356</v>
      </c>
      <c r="G46" s="4">
        <f t="shared" si="5"/>
        <v>96.553415903691587</v>
      </c>
      <c r="H46">
        <f t="shared" si="6"/>
        <v>0</v>
      </c>
      <c r="I46">
        <f t="shared" si="7"/>
        <v>-1.646899864239652</v>
      </c>
      <c r="J46">
        <f t="shared" si="8"/>
        <v>-1.0515440940058489</v>
      </c>
      <c r="K46">
        <f t="shared" si="9"/>
        <v>4.9789314910776095E-2</v>
      </c>
      <c r="L46">
        <f t="shared" si="10"/>
        <v>0.14650438447364642</v>
      </c>
      <c r="M46">
        <f t="shared" si="11"/>
        <v>2.6901872934328406</v>
      </c>
      <c r="N46">
        <f t="shared" si="12"/>
        <v>2.6901872934328424</v>
      </c>
    </row>
    <row r="47" spans="1:14" x14ac:dyDescent="0.3">
      <c r="A47">
        <v>175</v>
      </c>
      <c r="B47">
        <f t="shared" si="0"/>
        <v>94</v>
      </c>
      <c r="C47">
        <f t="shared" si="1"/>
        <v>1.6955893005776392</v>
      </c>
      <c r="D47">
        <f t="shared" si="2"/>
        <v>1.1002335303438362</v>
      </c>
      <c r="E47" s="6">
        <f t="shared" si="3"/>
        <v>0.95501815728073802</v>
      </c>
      <c r="F47" s="5">
        <f t="shared" si="4"/>
        <v>0.86438480761303937</v>
      </c>
      <c r="G47" s="4">
        <f t="shared" si="5"/>
        <v>101.31670903412969</v>
      </c>
      <c r="H47">
        <f t="shared" si="6"/>
        <v>0</v>
      </c>
      <c r="I47">
        <f t="shared" si="7"/>
        <v>-1.6955893005776392</v>
      </c>
      <c r="J47">
        <f t="shared" si="8"/>
        <v>-1.1002335303438362</v>
      </c>
      <c r="K47">
        <f t="shared" si="9"/>
        <v>4.4981842719261977E-2</v>
      </c>
      <c r="L47">
        <f t="shared" si="10"/>
        <v>0.1356151923869606</v>
      </c>
      <c r="M47">
        <f t="shared" si="11"/>
        <v>2.4534804238709524</v>
      </c>
      <c r="N47">
        <f t="shared" si="12"/>
        <v>2.4534804238709285</v>
      </c>
    </row>
    <row r="48" spans="1:14" x14ac:dyDescent="0.3">
      <c r="A48">
        <v>180</v>
      </c>
      <c r="B48">
        <f t="shared" si="0"/>
        <v>99</v>
      </c>
      <c r="C48">
        <f t="shared" si="1"/>
        <v>1.742907019452915</v>
      </c>
      <c r="D48">
        <f t="shared" si="2"/>
        <v>1.147551249219112</v>
      </c>
      <c r="E48" s="6">
        <f t="shared" si="3"/>
        <v>0.95932507114418009</v>
      </c>
      <c r="F48" s="5">
        <f t="shared" si="4"/>
        <v>0.87442306755055332</v>
      </c>
      <c r="G48" s="4">
        <f t="shared" si="5"/>
        <v>106.10276361393966</v>
      </c>
      <c r="H48">
        <f t="shared" si="6"/>
        <v>0</v>
      </c>
      <c r="I48">
        <f t="shared" si="7"/>
        <v>-1.742907019452915</v>
      </c>
      <c r="J48">
        <f t="shared" si="8"/>
        <v>-1.147551249219112</v>
      </c>
      <c r="K48">
        <f t="shared" si="9"/>
        <v>4.0674928855819907E-2</v>
      </c>
      <c r="L48">
        <f t="shared" si="10"/>
        <v>0.12557693244944665</v>
      </c>
      <c r="M48">
        <f t="shared" si="11"/>
        <v>2.2395350036809161</v>
      </c>
      <c r="N48">
        <f t="shared" si="12"/>
        <v>2.2395350036809134</v>
      </c>
    </row>
    <row r="49" spans="1:14" x14ac:dyDescent="0.3">
      <c r="A49">
        <v>185</v>
      </c>
      <c r="B49">
        <f t="shared" si="0"/>
        <v>104</v>
      </c>
      <c r="C49">
        <f t="shared" si="1"/>
        <v>1.7889281979784117</v>
      </c>
      <c r="D49">
        <f t="shared" si="2"/>
        <v>1.1935724277446087</v>
      </c>
      <c r="E49" s="6">
        <f t="shared" si="3"/>
        <v>0.96318681005954387</v>
      </c>
      <c r="F49" s="5">
        <f t="shared" si="4"/>
        <v>0.8836773675984303</v>
      </c>
      <c r="G49" s="4">
        <f t="shared" si="5"/>
        <v>110.90921814188559</v>
      </c>
      <c r="H49">
        <f t="shared" si="6"/>
        <v>0</v>
      </c>
      <c r="I49">
        <f t="shared" si="7"/>
        <v>-1.7889281979784117</v>
      </c>
      <c r="J49">
        <f t="shared" si="8"/>
        <v>-1.1935724277446087</v>
      </c>
      <c r="K49">
        <f t="shared" si="9"/>
        <v>3.6813189940456174E-2</v>
      </c>
      <c r="L49">
        <f t="shared" si="10"/>
        <v>0.1163226324015697</v>
      </c>
      <c r="M49">
        <f t="shared" si="11"/>
        <v>2.0459895316268302</v>
      </c>
      <c r="N49">
        <f t="shared" si="12"/>
        <v>2.0459895316268444</v>
      </c>
    </row>
    <row r="50" spans="1:14" x14ac:dyDescent="0.3">
      <c r="A50">
        <v>190</v>
      </c>
      <c r="B50">
        <f t="shared" si="0"/>
        <v>109</v>
      </c>
      <c r="C50">
        <f t="shared" si="1"/>
        <v>1.8337219976113412</v>
      </c>
      <c r="D50">
        <f t="shared" si="2"/>
        <v>1.2383662273775382</v>
      </c>
      <c r="E50" s="6">
        <f t="shared" si="3"/>
        <v>0.96665236422164691</v>
      </c>
      <c r="F50" s="5">
        <f t="shared" si="4"/>
        <v>0.89220985133180619</v>
      </c>
      <c r="G50" s="4">
        <f t="shared" si="5"/>
        <v>115.73397171958815</v>
      </c>
      <c r="H50">
        <f t="shared" si="6"/>
        <v>0</v>
      </c>
      <c r="I50">
        <f t="shared" si="7"/>
        <v>-1.8337219976113412</v>
      </c>
      <c r="J50">
        <f t="shared" si="8"/>
        <v>-1.2383662273775382</v>
      </c>
      <c r="K50">
        <f t="shared" si="9"/>
        <v>3.3347635778353098E-2</v>
      </c>
      <c r="L50">
        <f t="shared" si="10"/>
        <v>0.10779014866819375</v>
      </c>
      <c r="M50">
        <f t="shared" si="11"/>
        <v>1.8707431093294034</v>
      </c>
      <c r="N50">
        <f t="shared" si="12"/>
        <v>1.8707431093293962</v>
      </c>
    </row>
    <row r="51" spans="1:14" x14ac:dyDescent="0.3">
      <c r="A51">
        <v>195</v>
      </c>
      <c r="B51">
        <f t="shared" si="0"/>
        <v>114</v>
      </c>
      <c r="C51">
        <f t="shared" si="1"/>
        <v>1.8773521893420095</v>
      </c>
      <c r="D51">
        <f t="shared" si="2"/>
        <v>1.2819964191082065</v>
      </c>
      <c r="E51" s="6">
        <f t="shared" si="3"/>
        <v>0.96976508016078866</v>
      </c>
      <c r="F51" s="5">
        <f t="shared" si="4"/>
        <v>0.90007804880575792</v>
      </c>
      <c r="G51" s="4">
        <f t="shared" si="5"/>
        <v>120.57515399650542</v>
      </c>
      <c r="H51">
        <f t="shared" si="6"/>
        <v>0</v>
      </c>
      <c r="I51">
        <f t="shared" si="7"/>
        <v>-1.8773521893420095</v>
      </c>
      <c r="J51">
        <f t="shared" si="8"/>
        <v>-1.2819964191082065</v>
      </c>
      <c r="K51">
        <f t="shared" si="9"/>
        <v>3.0234919839211321E-2</v>
      </c>
      <c r="L51">
        <f t="shared" si="10"/>
        <v>9.9921951194242062E-2</v>
      </c>
      <c r="M51">
        <f t="shared" si="11"/>
        <v>1.7119253862466834</v>
      </c>
      <c r="N51">
        <f t="shared" si="12"/>
        <v>1.7119253862466621</v>
      </c>
    </row>
    <row r="52" spans="1:14" x14ac:dyDescent="0.3">
      <c r="A52">
        <v>200</v>
      </c>
      <c r="B52">
        <f t="shared" si="0"/>
        <v>119</v>
      </c>
      <c r="C52">
        <f t="shared" si="1"/>
        <v>1.9198776997176747</v>
      </c>
      <c r="D52">
        <f t="shared" si="2"/>
        <v>1.3245219294838717</v>
      </c>
      <c r="E52" s="6">
        <f t="shared" si="3"/>
        <v>0.97256332532394807</v>
      </c>
      <c r="F52" s="5">
        <f t="shared" si="4"/>
        <v>0.90733511754029095</v>
      </c>
      <c r="G52" s="4">
        <f t="shared" si="5"/>
        <v>125.43109864674047</v>
      </c>
      <c r="H52">
        <f t="shared" si="6"/>
        <v>0</v>
      </c>
      <c r="I52">
        <f t="shared" si="7"/>
        <v>-1.9198776997176747</v>
      </c>
      <c r="J52">
        <f t="shared" si="8"/>
        <v>-1.3245219294838717</v>
      </c>
      <c r="K52">
        <f t="shared" si="9"/>
        <v>2.7436674676051917E-2</v>
      </c>
      <c r="L52">
        <f t="shared" si="10"/>
        <v>9.2664882459709066E-2</v>
      </c>
      <c r="M52">
        <f t="shared" si="11"/>
        <v>1.5678700364817297</v>
      </c>
      <c r="N52">
        <f t="shared" si="12"/>
        <v>1.567870036481736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B8" formula="1"/>
  </ignoredErrors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>
              <from>
                <xdr:col>7</xdr:col>
                <xdr:colOff>647700</xdr:colOff>
                <xdr:row>2</xdr:row>
                <xdr:rowOff>190500</xdr:rowOff>
              </from>
              <to>
                <xdr:col>10</xdr:col>
                <xdr:colOff>487680</xdr:colOff>
                <xdr:row>4</xdr:row>
                <xdr:rowOff>60960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Pict="0" r:id="rId7">
            <anchor moveWithCells="1">
              <from>
                <xdr:col>11</xdr:col>
                <xdr:colOff>7620</xdr:colOff>
                <xdr:row>2</xdr:row>
                <xdr:rowOff>45720</xdr:rowOff>
              </from>
              <to>
                <xdr:col>13</xdr:col>
                <xdr:colOff>0</xdr:colOff>
                <xdr:row>4</xdr:row>
                <xdr:rowOff>175260</xdr:rowOff>
              </to>
            </anchor>
          </objectPr>
        </oleObject>
      </mc:Choice>
      <mc:Fallback>
        <oleObject progId="Equation.3" shapeId="1026" r:id="rId6"/>
      </mc:Fallback>
    </mc:AlternateContent>
    <mc:AlternateContent xmlns:mc="http://schemas.openxmlformats.org/markup-compatibility/2006">
      <mc:Choice Requires="x14">
        <oleObject progId="Equation.3" shapeId="1027" r:id="rId8">
          <objectPr defaultSize="0" autoPict="0" r:id="rId9">
            <anchor moveWithCells="1">
              <from>
                <xdr:col>13</xdr:col>
                <xdr:colOff>144780</xdr:colOff>
                <xdr:row>2</xdr:row>
                <xdr:rowOff>137160</xdr:rowOff>
              </from>
              <to>
                <xdr:col>14</xdr:col>
                <xdr:colOff>525780</xdr:colOff>
                <xdr:row>4</xdr:row>
                <xdr:rowOff>7620</xdr:rowOff>
              </to>
            </anchor>
          </objectPr>
        </oleObject>
      </mc:Choice>
      <mc:Fallback>
        <oleObject progId="Equation.3" shapeId="1027" r:id="rId8"/>
      </mc:Fallback>
    </mc:AlternateContent>
    <mc:AlternateContent xmlns:mc="http://schemas.openxmlformats.org/markup-compatibility/2006">
      <mc:Choice Requires="x14">
        <oleObject progId="Equation.3" shapeId="1033" r:id="rId10">
          <objectPr defaultSize="0" autoPict="0" r:id="rId11">
            <anchor moveWithCells="1">
              <from>
                <xdr:col>7</xdr:col>
                <xdr:colOff>640080</xdr:colOff>
                <xdr:row>5</xdr:row>
                <xdr:rowOff>83820</xdr:rowOff>
              </from>
              <to>
                <xdr:col>12</xdr:col>
                <xdr:colOff>114300</xdr:colOff>
                <xdr:row>6</xdr:row>
                <xdr:rowOff>198120</xdr:rowOff>
              </to>
            </anchor>
          </objectPr>
        </oleObject>
      </mc:Choice>
      <mc:Fallback>
        <oleObject progId="Equation.3" shapeId="1033" r:id="rId10"/>
      </mc:Fallback>
    </mc:AlternateContent>
    <mc:AlternateContent xmlns:mc="http://schemas.openxmlformats.org/markup-compatibility/2006">
      <mc:Choice Requires="x14">
        <oleObject progId="Equation.3" shapeId="1034" r:id="rId12">
          <objectPr defaultSize="0" autoPict="0" r:id="rId13">
            <anchor moveWithCells="1">
              <from>
                <xdr:col>7</xdr:col>
                <xdr:colOff>640080</xdr:colOff>
                <xdr:row>7</xdr:row>
                <xdr:rowOff>144780</xdr:rowOff>
              </from>
              <to>
                <xdr:col>12</xdr:col>
                <xdr:colOff>99060</xdr:colOff>
                <xdr:row>9</xdr:row>
                <xdr:rowOff>0</xdr:rowOff>
              </to>
            </anchor>
          </objectPr>
        </oleObject>
      </mc:Choice>
      <mc:Fallback>
        <oleObject progId="Equation.3" shapeId="1034" r:id="rId12"/>
      </mc:Fallback>
    </mc:AlternateContent>
  </oleObjects>
  <controls>
    <mc:AlternateContent xmlns:mc="http://schemas.openxmlformats.org/markup-compatibility/2006">
      <mc:Choice Requires="x14">
        <control shapeId="1035" r:id="rId14" name="ScrollBar1">
          <controlPr defaultSize="0" autoLine="0" linkedCell="F6" r:id="rId15">
            <anchor moveWithCells="1">
              <from>
                <xdr:col>1</xdr:col>
                <xdr:colOff>601980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35" r:id="rId14" name="ScrollBar1"/>
      </mc:Fallback>
    </mc:AlternateContent>
    <mc:AlternateContent xmlns:mc="http://schemas.openxmlformats.org/markup-compatibility/2006">
      <mc:Choice Requires="x14">
        <control shapeId="1036" r:id="rId16" name="ScrollBar2">
          <controlPr defaultSize="0" autoLine="0" linkedCell="F7" r:id="rId17">
            <anchor moveWithCells="1">
              <from>
                <xdr:col>2</xdr:col>
                <xdr:colOff>0</xdr:colOff>
                <xdr:row>6</xdr:row>
                <xdr:rowOff>7620</xdr:rowOff>
              </from>
              <to>
                <xdr:col>3</xdr:col>
                <xdr:colOff>7620</xdr:colOff>
                <xdr:row>7</xdr:row>
                <xdr:rowOff>7620</xdr:rowOff>
              </to>
            </anchor>
          </controlPr>
        </control>
      </mc:Choice>
      <mc:Fallback>
        <control shapeId="1036" r:id="rId16" name="ScrollBar2"/>
      </mc:Fallback>
    </mc:AlternateContent>
    <mc:AlternateContent xmlns:mc="http://schemas.openxmlformats.org/markup-compatibility/2006">
      <mc:Choice Requires="x14">
        <control shapeId="1037" r:id="rId18" name="ScrollBar3">
          <controlPr defaultSize="0" autoLine="0" linkedCell="F8" r:id="rId19">
            <anchor moveWithCells="1">
              <from>
                <xdr:col>2</xdr:col>
                <xdr:colOff>0</xdr:colOff>
                <xdr:row>7</xdr:row>
                <xdr:rowOff>7620</xdr:rowOff>
              </from>
              <to>
                <xdr:col>3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1037" r:id="rId18" name="ScrollBar3"/>
      </mc:Fallback>
    </mc:AlternateContent>
    <mc:AlternateContent xmlns:mc="http://schemas.openxmlformats.org/markup-compatibility/2006">
      <mc:Choice Requires="x14">
        <control shapeId="1038" r:id="rId20" name="ScrollBar4">
          <controlPr defaultSize="0" autoLine="0" linkedCell="F9" r:id="rId21">
            <anchor moveWithCells="1">
              <from>
                <xdr:col>2</xdr:col>
                <xdr:colOff>0</xdr:colOff>
                <xdr:row>8</xdr:row>
                <xdr:rowOff>15240</xdr:rowOff>
              </from>
              <to>
                <xdr:col>3</xdr:col>
                <xdr:colOff>7620</xdr:colOff>
                <xdr:row>9</xdr:row>
                <xdr:rowOff>15240</xdr:rowOff>
              </to>
            </anchor>
          </controlPr>
        </control>
      </mc:Choice>
      <mc:Fallback>
        <control shapeId="1038" r:id="rId20" name="ScrollBar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12345-06F3-4DFC-89DA-1B1AE236DCD4}">
  <dimension ref="A1:H13"/>
  <sheetViews>
    <sheetView tabSelected="1" workbookViewId="0">
      <selection activeCell="G14" sqref="G14"/>
    </sheetView>
  </sheetViews>
  <sheetFormatPr defaultRowHeight="16.2" x14ac:dyDescent="0.3"/>
  <cols>
    <col min="1" max="1" width="20" bestFit="1" customWidth="1"/>
    <col min="2" max="2" width="11" bestFit="1" customWidth="1"/>
    <col min="3" max="3" width="17.44140625" bestFit="1" customWidth="1"/>
    <col min="4" max="4" width="13.5546875" bestFit="1" customWidth="1"/>
    <col min="5" max="6" width="8.77734375" bestFit="1" customWidth="1"/>
    <col min="7" max="7" width="11.33203125" bestFit="1" customWidth="1"/>
    <col min="8" max="8" width="12.21875" bestFit="1" customWidth="1"/>
  </cols>
  <sheetData>
    <row r="1" spans="1:8" x14ac:dyDescent="0.3">
      <c r="A1" t="s">
        <v>0</v>
      </c>
    </row>
    <row r="2" spans="1:8" x14ac:dyDescent="0.3">
      <c r="A2" t="s">
        <v>1</v>
      </c>
    </row>
    <row r="4" spans="1:8" x14ac:dyDescent="0.3">
      <c r="D4" s="7"/>
      <c r="E4" t="s">
        <v>38</v>
      </c>
    </row>
    <row r="6" spans="1:8" x14ac:dyDescent="0.3">
      <c r="A6" s="1" t="s">
        <v>34</v>
      </c>
      <c r="B6" s="7">
        <v>150</v>
      </c>
      <c r="D6" s="2"/>
    </row>
    <row r="7" spans="1:8" x14ac:dyDescent="0.3">
      <c r="A7" s="1" t="s">
        <v>2</v>
      </c>
      <c r="B7" s="8">
        <v>0.05</v>
      </c>
      <c r="D7" s="2"/>
    </row>
    <row r="8" spans="1:8" x14ac:dyDescent="0.3">
      <c r="A8" s="1" t="s">
        <v>3</v>
      </c>
      <c r="B8" s="7">
        <v>0.40273999999999999</v>
      </c>
      <c r="D8" s="2"/>
    </row>
    <row r="9" spans="1:8" x14ac:dyDescent="0.3">
      <c r="A9" s="1" t="s">
        <v>4</v>
      </c>
      <c r="B9" s="3">
        <v>0.6923803057961202</v>
      </c>
      <c r="C9" s="2" t="s">
        <v>39</v>
      </c>
      <c r="D9" s="2"/>
    </row>
    <row r="11" spans="1:8" x14ac:dyDescent="0.3">
      <c r="B11" t="s">
        <v>10</v>
      </c>
      <c r="G11" t="s">
        <v>37</v>
      </c>
    </row>
    <row r="12" spans="1:8" x14ac:dyDescent="0.3">
      <c r="A12" s="1" t="s">
        <v>9</v>
      </c>
      <c r="B12" t="s">
        <v>16</v>
      </c>
      <c r="C12" t="s">
        <v>11</v>
      </c>
      <c r="D12" t="s">
        <v>12</v>
      </c>
      <c r="E12" t="s">
        <v>13</v>
      </c>
      <c r="F12" t="s">
        <v>14</v>
      </c>
      <c r="G12" t="s">
        <v>15</v>
      </c>
      <c r="H12" t="s">
        <v>36</v>
      </c>
    </row>
    <row r="13" spans="1:8" x14ac:dyDescent="0.3">
      <c r="A13" s="7">
        <v>100</v>
      </c>
      <c r="B13">
        <f>MAX(A13-$B$6,0)</f>
        <v>0</v>
      </c>
      <c r="C13">
        <f>(LN(A13/$B$6)+$B$7*$B$8)/($B$9*$B$8^0.5)+0.5*$B$9*$B$8^0.5</f>
        <v>-0.65724901278328363</v>
      </c>
      <c r="D13">
        <f>C13-$B$9*$B$8^0.5</f>
        <v>-1.0966460144554075</v>
      </c>
      <c r="E13" s="5">
        <f>NORMDIST(C13,0,1,TRUE)</f>
        <v>0.25551040759489885</v>
      </c>
      <c r="F13" s="5">
        <f>NORMDIST(D13,0,1,TRUE)</f>
        <v>0.13639808215119748</v>
      </c>
      <c r="G13" s="4">
        <f>A13*E13-$B$6*EXP(-$B$7*$B$8)*F13</f>
        <v>5.4992051742216752</v>
      </c>
      <c r="H13" s="7">
        <v>5.5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B-S model</vt:lpstr>
      <vt:lpstr>hw ref</vt:lpstr>
    </vt:vector>
  </TitlesOfParts>
  <Company>NCCU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cocpc</dc:creator>
  <cp:lastModifiedBy>王博奕</cp:lastModifiedBy>
  <dcterms:created xsi:type="dcterms:W3CDTF">2004-12-08T01:09:49Z</dcterms:created>
  <dcterms:modified xsi:type="dcterms:W3CDTF">2021-12-14T02:39:07Z</dcterms:modified>
</cp:coreProperties>
</file>